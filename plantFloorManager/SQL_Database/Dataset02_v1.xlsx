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129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0cms6-my.sharepoint.com/personal/diogopereira_0cms6_onmicrosoft_com/Documents/Faculdade/Código 2º Ano/sem3-pi-2024-g094/plantFloorManager/SQL_Database/"/>
    </mc:Choice>
  </mc:AlternateContent>
  <xr:revisionPtr revIDLastSave="537" documentId="8_{61104BE5-191E-4C22-96ED-F0E59940F269}" xr6:coauthVersionLast="47" xr6:coauthVersionMax="47" xr10:uidLastSave="{D4B7044A-91C7-42CA-8859-DA48977632B5}"/>
  <bookViews>
    <workbookView xWindow="-98" yWindow="-98" windowWidth="21795" windowHeight="12975" firstSheet="1" activeTab="6" xr2:uid="{96054C54-0AC6-4E0E-AB4B-5CA509897BDA}"/>
  </bookViews>
  <sheets>
    <sheet name="Clients" sheetId="1" r:id="rId1"/>
    <sheet name="Products" sheetId="8" r:id="rId2"/>
    <sheet name="ProductFamily" sheetId="9" r:id="rId3"/>
    <sheet name="Orders" sheetId="2" r:id="rId4"/>
    <sheet name="Operations" sheetId="3" r:id="rId5"/>
    <sheet name="WorkstationTypes" sheetId="4" r:id="rId6"/>
    <sheet name="Workstations" sheetId="5" r:id="rId7"/>
    <sheet name="BOM" sheetId="6" r:id="rId8"/>
    <sheet name="BOO" sheetId="7" r:id="rId9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0" i="2" l="1"/>
  <c r="H9" i="2"/>
  <c r="H8" i="2"/>
  <c r="H7" i="2"/>
  <c r="H6" i="2"/>
  <c r="H5" i="2"/>
  <c r="H4" i="2"/>
  <c r="H3" i="2"/>
  <c r="H2" i="2"/>
  <c r="B13" i="8"/>
  <c r="B43" i="6"/>
  <c r="B37" i="6"/>
  <c r="B38" i="6"/>
  <c r="B39" i="6"/>
  <c r="B40" i="6"/>
  <c r="B31" i="6"/>
  <c r="B32" i="6"/>
  <c r="B33" i="6"/>
  <c r="B34" i="6"/>
  <c r="B35" i="6"/>
  <c r="B36" i="6"/>
  <c r="B30" i="6"/>
  <c r="B44" i="6"/>
  <c r="B45" i="6"/>
  <c r="B46" i="6"/>
  <c r="B47" i="6"/>
  <c r="B48" i="6"/>
  <c r="B49" i="6"/>
  <c r="B50" i="6"/>
  <c r="B51" i="6"/>
  <c r="B52" i="6"/>
  <c r="B53" i="6"/>
  <c r="B54" i="6"/>
  <c r="B55" i="6"/>
  <c r="B56" i="6"/>
  <c r="B57" i="6"/>
  <c r="B58" i="6"/>
  <c r="B59" i="6"/>
  <c r="B60" i="6"/>
  <c r="B24" i="6"/>
  <c r="B25" i="6"/>
  <c r="B26" i="6"/>
  <c r="B27" i="6"/>
  <c r="B28" i="6"/>
  <c r="B29" i="6"/>
  <c r="B23" i="6"/>
  <c r="C11" i="1"/>
  <c r="C12" i="1"/>
  <c r="C13" i="1"/>
  <c r="C10" i="1"/>
  <c r="C27" i="7"/>
  <c r="C28" i="7"/>
  <c r="C18" i="7"/>
  <c r="C19" i="7"/>
  <c r="C20" i="7"/>
  <c r="C21" i="7"/>
  <c r="C22" i="7"/>
  <c r="C23" i="7"/>
  <c r="C24" i="7"/>
  <c r="C25" i="7"/>
  <c r="C26" i="7"/>
  <c r="C17" i="7"/>
  <c r="B10" i="9"/>
  <c r="B11" i="9"/>
  <c r="B12" i="9"/>
  <c r="B13" i="9"/>
  <c r="B9" i="9"/>
</calcChain>
</file>

<file path=xl/sharedStrings.xml><?xml version="1.0" encoding="utf-8"?>
<sst xmlns="http://schemas.openxmlformats.org/spreadsheetml/2006/main" count="280" uniqueCount="168">
  <si>
    <t>Name</t>
  </si>
  <si>
    <t>Addess</t>
  </si>
  <si>
    <t>ZIP</t>
  </si>
  <si>
    <t>VATIN</t>
  </si>
  <si>
    <t>PT501245987</t>
  </si>
  <si>
    <t>Carvalho &amp; Carvalho, Lda</t>
  </si>
  <si>
    <t>Tudo para a casa, Lda</t>
  </si>
  <si>
    <t>PT501245488</t>
  </si>
  <si>
    <t>PT501242417</t>
  </si>
  <si>
    <t>U Fleku</t>
  </si>
  <si>
    <t>CZ6451237810</t>
  </si>
  <si>
    <t>Křemencova 11</t>
  </si>
  <si>
    <t>110 00</t>
  </si>
  <si>
    <t>Nové Město</t>
  </si>
  <si>
    <t>Czechia</t>
  </si>
  <si>
    <t>Town</t>
  </si>
  <si>
    <t>Country</t>
  </si>
  <si>
    <t>Portugal</t>
  </si>
  <si>
    <t>Code</t>
  </si>
  <si>
    <t>Description</t>
  </si>
  <si>
    <t>La Belle 22 5l pot</t>
  </si>
  <si>
    <t>5l 22 cm aluminium and teflon non stick pot</t>
  </si>
  <si>
    <t>Pro 22 5l pot</t>
  </si>
  <si>
    <t>AS12945S22</t>
  </si>
  <si>
    <t>5l 22 cm stainless steel pot</t>
  </si>
  <si>
    <t>AS12945S20</t>
  </si>
  <si>
    <t>Pro 20 3l pot</t>
  </si>
  <si>
    <t>3l 20 cm stainless steel pot</t>
  </si>
  <si>
    <t>AS12945S17</t>
  </si>
  <si>
    <t>Pro 17 2l sauce pan</t>
  </si>
  <si>
    <t>AS12945T22</t>
  </si>
  <si>
    <t>OPID</t>
  </si>
  <si>
    <t>600t cold forging stamping press</t>
  </si>
  <si>
    <t>A4578</t>
  </si>
  <si>
    <t>WSID</t>
  </si>
  <si>
    <t>WTID</t>
  </si>
  <si>
    <t>Press 01</t>
  </si>
  <si>
    <t>220-630t precision cold forging press</t>
  </si>
  <si>
    <t>Press 02</t>
  </si>
  <si>
    <t>Press 03</t>
  </si>
  <si>
    <t>A4588</t>
  </si>
  <si>
    <t>600t cold forging precision stamping press</t>
  </si>
  <si>
    <t>A4598</t>
  </si>
  <si>
    <t>1000t cold forging precision stamping press</t>
  </si>
  <si>
    <t>Press 04</t>
  </si>
  <si>
    <t>160-1000t precison cold forging press</t>
  </si>
  <si>
    <t>220-630t cold forging press</t>
  </si>
  <si>
    <t>Rivet station</t>
  </si>
  <si>
    <t>S3271</t>
  </si>
  <si>
    <t>Disc cutting</t>
  </si>
  <si>
    <t>Initial pot base pressing</t>
  </si>
  <si>
    <t>Final pot base pressing</t>
  </si>
  <si>
    <t>Lid pressing</t>
  </si>
  <si>
    <t>Lid finishing</t>
  </si>
  <si>
    <t>Pot base finishing</t>
  </si>
  <si>
    <t>Pot handles riveting</t>
  </si>
  <si>
    <t>Pot test and packaging</t>
  </si>
  <si>
    <t>Handle rivet</t>
  </si>
  <si>
    <t>Packaging</t>
  </si>
  <si>
    <t>Border trimming</t>
  </si>
  <si>
    <t>K3675</t>
  </si>
  <si>
    <t>C5637</t>
  </si>
  <si>
    <t>Spot welding</t>
  </si>
  <si>
    <t>D9123</t>
  </si>
  <si>
    <t>Handle welding</t>
  </si>
  <si>
    <t>Lid polishing</t>
  </si>
  <si>
    <t>Pot base polishing</t>
  </si>
  <si>
    <t>Teflon painting</t>
  </si>
  <si>
    <t>Teflon application station</t>
  </si>
  <si>
    <t>Stainless steel polishing</t>
  </si>
  <si>
    <t>Q5478</t>
  </si>
  <si>
    <t>Q3547</t>
  </si>
  <si>
    <t>ProductID</t>
  </si>
  <si>
    <t>OPNumber</t>
  </si>
  <si>
    <t>Rivet 02</t>
  </si>
  <si>
    <t>Rivet 03</t>
  </si>
  <si>
    <t>PartNumber</t>
  </si>
  <si>
    <t>AS12945S48</t>
  </si>
  <si>
    <t>Pro 17 lid</t>
  </si>
  <si>
    <t>2l 17 cm stainless steel souce pan</t>
  </si>
  <si>
    <t>17 cm stainless steel lid</t>
  </si>
  <si>
    <t>17 cm glass lid</t>
  </si>
  <si>
    <t>Pro Clear 17 lid</t>
  </si>
  <si>
    <t>AS12945G48</t>
  </si>
  <si>
    <t>Assembly T1</t>
  </si>
  <si>
    <t>T3452</t>
  </si>
  <si>
    <t>Lid handle screw</t>
  </si>
  <si>
    <t>PN12344A21</t>
  </si>
  <si>
    <t>Screw M6 35 mm</t>
  </si>
  <si>
    <t>Quantity</t>
  </si>
  <si>
    <t>300x300 mm 5mm stainless steel sheet</t>
  </si>
  <si>
    <t>300x300 mm 1mm stainless steel sheet</t>
  </si>
  <si>
    <t>PN18544A21</t>
  </si>
  <si>
    <t>Rivet 6 mm</t>
  </si>
  <si>
    <t>PN52384R50</t>
  </si>
  <si>
    <t>PN52384R10</t>
  </si>
  <si>
    <t>PN18544C21</t>
  </si>
  <si>
    <t>PN18324C54</t>
  </si>
  <si>
    <t>Stainless steel handle model R12</t>
  </si>
  <si>
    <t>Stainless steel handle model U6</t>
  </si>
  <si>
    <t>Packaging 01</t>
  </si>
  <si>
    <t>Packaging 02</t>
  </si>
  <si>
    <t>Packaging 03</t>
  </si>
  <si>
    <t>Packaging 04</t>
  </si>
  <si>
    <t>Packaging 05</t>
  </si>
  <si>
    <t>Packaging station</t>
  </si>
  <si>
    <t>K3676</t>
  </si>
  <si>
    <t>Packaging for large itens</t>
  </si>
  <si>
    <t>Welding 01</t>
  </si>
  <si>
    <t>Welding 02</t>
  </si>
  <si>
    <t>Welding 03</t>
  </si>
  <si>
    <t>Spot welding staion</t>
  </si>
  <si>
    <t>G9273</t>
  </si>
  <si>
    <t>Circular glass cutting</t>
  </si>
  <si>
    <t>G9274</t>
  </si>
  <si>
    <t>Glass trimming</t>
  </si>
  <si>
    <t>Assembly 01</t>
  </si>
  <si>
    <t>Assembly 02</t>
  </si>
  <si>
    <t>Assembly 03</t>
  </si>
  <si>
    <t>Product assembly station</t>
  </si>
  <si>
    <t>Trimming 01</t>
  </si>
  <si>
    <t>Metal trimming station</t>
  </si>
  <si>
    <t>Polishing 01</t>
  </si>
  <si>
    <t>Polishing 02</t>
  </si>
  <si>
    <t>Polishing 03</t>
  </si>
  <si>
    <t>Metal polishing station</t>
  </si>
  <si>
    <t>OID</t>
  </si>
  <si>
    <t>Product</t>
  </si>
  <si>
    <t>DateOrder</t>
  </si>
  <si>
    <t>DateDelivery</t>
  </si>
  <si>
    <t>Client</t>
  </si>
  <si>
    <t>Tv. Augusto Lessa 23</t>
  </si>
  <si>
    <t>4200-047</t>
  </si>
  <si>
    <t>Porto</t>
  </si>
  <si>
    <t>R. Dr. Barros 93</t>
  </si>
  <si>
    <t>4465-219</t>
  </si>
  <si>
    <t>São Mamede de Infesta</t>
  </si>
  <si>
    <t>Vila Nova de Gaia</t>
  </si>
  <si>
    <t>4400-023</t>
  </si>
  <si>
    <t>Sair de Cena</t>
  </si>
  <si>
    <t>EDIFICIO CRISTAL lj18, R. António Correia de Carvalho 88</t>
  </si>
  <si>
    <t>WorkstationType</t>
  </si>
  <si>
    <t>Stainless steel handle model R11</t>
  </si>
  <si>
    <t>PN18324C51</t>
  </si>
  <si>
    <t>PFID</t>
  </si>
  <si>
    <t>Family</t>
  </si>
  <si>
    <t>Pro Line pots</t>
  </si>
  <si>
    <t>La Belle pots</t>
  </si>
  <si>
    <t>Pro Line pans</t>
  </si>
  <si>
    <t>Pro Line lids</t>
  </si>
  <si>
    <t>Pro Clear lids</t>
  </si>
  <si>
    <t>Phone</t>
  </si>
  <si>
    <t>idont@care.com</t>
  </si>
  <si>
    <t>003518340500</t>
  </si>
  <si>
    <t>004201234567</t>
  </si>
  <si>
    <t>FamilyID</t>
  </si>
  <si>
    <t>Pro 17 2l pot</t>
  </si>
  <si>
    <t>2l 17 cm stainless steel pot</t>
  </si>
  <si>
    <t>AS12945P17</t>
  </si>
  <si>
    <t>PN52384R45</t>
  </si>
  <si>
    <t>PN52384R12</t>
  </si>
  <si>
    <t>250x250 mm 1mm stainless steel sheet</t>
  </si>
  <si>
    <t>250x250 mm 5mm stainless steel sheet</t>
  </si>
  <si>
    <t>me@neither.com</t>
  </si>
  <si>
    <t>some@email.com</t>
  </si>
  <si>
    <t>some.random@email.cz</t>
  </si>
  <si>
    <t>IDClient</t>
  </si>
  <si>
    <t>Email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</si>
</sst>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quotePrefix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52B8C6-F495-435D-B053-FB604FC6DD2C}">
  <dimension ref="A1:I13"/>
  <sheetViews>
    <sheetView workbookViewId="0">
      <selection activeCell="D16" sqref="D16"/>
    </sheetView>
  </sheetViews>
  <sheetFormatPr defaultRowHeight="14.25" x14ac:dyDescent="0.45"/>
  <cols>
    <col min="2" max="2" width="22.796875" bestFit="1" customWidth="1"/>
    <col min="3" max="3" width="13.9296875" customWidth="1"/>
    <col min="4" max="4" width="47" bestFit="1" customWidth="1"/>
    <col min="5" max="5" width="10.73046875" customWidth="1"/>
    <col min="6" max="6" width="19.59765625" bestFit="1" customWidth="1"/>
    <col min="7" max="7" width="11.33203125" customWidth="1"/>
    <col min="8" max="8" width="20.59765625" bestFit="1" customWidth="1"/>
    <col min="9" max="9" width="12.9296875" bestFit="1" customWidth="1"/>
  </cols>
  <sheetData>
    <row r="1" spans="1:9" x14ac:dyDescent="0.45">
      <c r="A1" t="s">
        <v>166</v>
      </c>
      <c r="B1" t="s">
        <v>0</v>
      </c>
      <c r="C1" t="s">
        <v>3</v>
      </c>
      <c r="D1" t="s">
        <v>1</v>
      </c>
      <c r="E1" t="s">
        <v>2</v>
      </c>
      <c r="F1" t="s">
        <v>15</v>
      </c>
      <c r="G1" t="s">
        <v>16</v>
      </c>
      <c r="H1" t="s">
        <v>167</v>
      </c>
      <c r="I1" t="s">
        <v>151</v>
      </c>
    </row>
    <row r="2" spans="1:9" x14ac:dyDescent="0.45">
      <c r="A2">
        <v>456</v>
      </c>
      <c r="B2" t="s">
        <v>5</v>
      </c>
      <c r="C2" t="s">
        <v>4</v>
      </c>
      <c r="D2" t="s">
        <v>131</v>
      </c>
      <c r="E2" t="s">
        <v>132</v>
      </c>
      <c r="F2" t="s">
        <v>133</v>
      </c>
      <c r="G2" t="s">
        <v>17</v>
      </c>
      <c r="H2" t="s">
        <v>152</v>
      </c>
      <c r="I2" t="s">
        <v>153</v>
      </c>
    </row>
    <row r="3" spans="1:9" x14ac:dyDescent="0.45">
      <c r="A3">
        <v>785</v>
      </c>
      <c r="B3" t="s">
        <v>6</v>
      </c>
      <c r="C3" t="s">
        <v>7</v>
      </c>
      <c r="D3" t="s">
        <v>134</v>
      </c>
      <c r="E3" t="s">
        <v>135</v>
      </c>
      <c r="F3" t="s">
        <v>136</v>
      </c>
      <c r="G3" t="s">
        <v>17</v>
      </c>
      <c r="H3" t="s">
        <v>163</v>
      </c>
      <c r="I3" t="s">
        <v>153</v>
      </c>
    </row>
    <row r="4" spans="1:9" x14ac:dyDescent="0.45">
      <c r="A4">
        <v>657</v>
      </c>
      <c r="B4" t="s">
        <v>139</v>
      </c>
      <c r="C4" t="s">
        <v>8</v>
      </c>
      <c r="D4" t="s">
        <v>140</v>
      </c>
      <c r="E4" t="s">
        <v>138</v>
      </c>
      <c r="F4" t="s">
        <v>137</v>
      </c>
      <c r="G4" t="s">
        <v>17</v>
      </c>
      <c r="H4" t="s">
        <v>164</v>
      </c>
      <c r="I4" t="s">
        <v>153</v>
      </c>
    </row>
    <row r="5" spans="1:9" x14ac:dyDescent="0.45">
      <c r="A5">
        <v>348</v>
      </c>
      <c r="B5" t="s">
        <v>9</v>
      </c>
      <c r="C5" t="s">
        <v>10</v>
      </c>
      <c r="D5" t="s">
        <v>11</v>
      </c>
      <c r="E5" t="s">
        <v>12</v>
      </c>
      <c r="F5" t="s">
        <v>13</v>
      </c>
      <c r="G5" t="s">
        <v>14</v>
      </c>
      <c r="H5" t="s">
        <v>165</v>
      </c>
      <c r="I5" s="2" t="s">
        <v>154</v>
      </c>
    </row>
    <row r="10" spans="1:9" x14ac:dyDescent="0.45">
      <c r="C10" t="str">
        <f>_xlfn.CONCAT("insert into Customer(Customer_ID, Name, NIF, Address, Mobile_number, Email, typeID, Country_ID) values (",A2,", '",B2,"', '",C2,"', '",D2,", ",E2,", ",F2,"', ",I2,", '",H2,"', 2, 620);")</f>
        <v>insert into Customer(Customer_ID, Name, NIF, Address, Mobile_number, Email, typeID, Country_ID) values (456, 'Carvalho &amp; Carvalho, Lda', 'PT501245987', 'Tv. Augusto Lessa 23, 4200-047, Porto', 003518340500, 'idont@care.com', 2, 620);</v>
      </c>
    </row>
    <row r="11" spans="1:9" x14ac:dyDescent="0.45">
      <c r="C11" t="str">
        <f t="shared" ref="C11:C13" si="0">_xlfn.CONCAT("insert into Customer(Customer_ID, Name, NIF, Address, Mobile_number, Email, typeID, Country_ID) values (",A3,", '",B3,"', '",C3,"', '",D3,", ",E3,", ",F3,"', ",I3,", '",H3,"', 2, 620);")</f>
        <v>insert into Customer(Customer_ID, Name, NIF, Address, Mobile_number, Email, typeID, Country_ID) values (785, 'Tudo para a casa, Lda', 'PT501245488', 'R. Dr. Barros 93, 4465-219, São Mamede de Infesta', 003518340500, 'me@neither.com', 2, 620);</v>
      </c>
    </row>
    <row r="12" spans="1:9" x14ac:dyDescent="0.45">
      <c r="C12" t="str">
        <f t="shared" si="0"/>
        <v>insert into Customer(Customer_ID, Name, NIF, Address, Mobile_number, Email, typeID, Country_ID) values (657, 'Sair de Cena', 'PT501242417', 'EDIFICIO CRISTAL lj18, R. António Correia de Carvalho 88, 4400-023, Vila Nova de Gaia', 003518340500, 'some@email.com', 2, 620);</v>
      </c>
    </row>
    <row r="13" spans="1:9" x14ac:dyDescent="0.45">
      <c r="C13" t="str">
        <f t="shared" si="0"/>
        <v>insert into Customer(Customer_ID, Name, NIF, Address, Mobile_number, Email, typeID, Country_ID) values (348, 'U Fleku', 'CZ6451237810', 'Křemencova 11, 110 00, Nové Město', 004201234567, 'some.random@email.cz', 2, 620);</v>
      </c>
    </row>
  </sheetData>
  <phoneticPr fontId="1" type="noConversion"/>
  <pageMargins left="0.7" right="0.7" top="0.75" bottom="0.75" header="0.3" footer="0.3"/>
  <pageSetup paperSize="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5D9EF7-7F05-4929-9267-83A028A1D45D}">
  <dimension ref="A1:D13"/>
  <sheetViews>
    <sheetView workbookViewId="0">
      <selection activeCell="B14" sqref="B14:B19"/>
    </sheetView>
  </sheetViews>
  <sheetFormatPr defaultRowHeight="14.25" x14ac:dyDescent="0.45"/>
  <cols>
    <col min="1" max="1" width="13.265625" customWidth="1"/>
    <col min="2" max="2" width="23.33203125" customWidth="1"/>
    <col min="3" max="3" width="35.9296875" bestFit="1" customWidth="1"/>
  </cols>
  <sheetData>
    <row r="1" spans="1:4" x14ac:dyDescent="0.45">
      <c r="A1" t="s">
        <v>18</v>
      </c>
      <c r="B1" t="s">
        <v>0</v>
      </c>
      <c r="C1" t="s">
        <v>19</v>
      </c>
      <c r="D1" t="s">
        <v>145</v>
      </c>
    </row>
    <row r="2" spans="1:4" x14ac:dyDescent="0.45">
      <c r="A2" t="s">
        <v>30</v>
      </c>
      <c r="B2" t="s">
        <v>20</v>
      </c>
      <c r="C2" t="s">
        <v>21</v>
      </c>
      <c r="D2">
        <v>130</v>
      </c>
    </row>
    <row r="3" spans="1:4" x14ac:dyDescent="0.45">
      <c r="A3" t="s">
        <v>23</v>
      </c>
      <c r="B3" t="s">
        <v>22</v>
      </c>
      <c r="C3" t="s">
        <v>24</v>
      </c>
      <c r="D3">
        <v>125</v>
      </c>
    </row>
    <row r="4" spans="1:4" x14ac:dyDescent="0.45">
      <c r="A4" t="s">
        <v>25</v>
      </c>
      <c r="B4" t="s">
        <v>26</v>
      </c>
      <c r="C4" t="s">
        <v>27</v>
      </c>
      <c r="D4">
        <v>125</v>
      </c>
    </row>
    <row r="5" spans="1:4" x14ac:dyDescent="0.45">
      <c r="A5" t="s">
        <v>28</v>
      </c>
      <c r="B5" t="s">
        <v>156</v>
      </c>
      <c r="C5" t="s">
        <v>157</v>
      </c>
      <c r="D5">
        <v>125</v>
      </c>
    </row>
    <row r="6" spans="1:4" x14ac:dyDescent="0.45">
      <c r="A6" t="s">
        <v>158</v>
      </c>
      <c r="B6" t="s">
        <v>29</v>
      </c>
      <c r="C6" t="s">
        <v>79</v>
      </c>
      <c r="D6">
        <v>132</v>
      </c>
    </row>
    <row r="7" spans="1:4" x14ac:dyDescent="0.45">
      <c r="A7" t="s">
        <v>77</v>
      </c>
      <c r="B7" t="s">
        <v>78</v>
      </c>
      <c r="C7" t="s">
        <v>80</v>
      </c>
      <c r="D7">
        <v>145</v>
      </c>
    </row>
    <row r="8" spans="1:4" x14ac:dyDescent="0.45">
      <c r="A8" t="s">
        <v>83</v>
      </c>
      <c r="B8" t="s">
        <v>82</v>
      </c>
      <c r="C8" t="s">
        <v>81</v>
      </c>
      <c r="D8">
        <v>146</v>
      </c>
    </row>
    <row r="13" spans="1:4" x14ac:dyDescent="0.45">
      <c r="B13" t="str">
        <f>_xlfn.CONCAT("insert into Product (Product_ID, Product_Name, Product_Description, Factory_Plant_ID, Family_ID, Part_ID) values ('",A2,"', '",B2,"', '",C2,"', 1, ",D2,");")</f>
        <v>insert into Product (Product_ID, Product_Name, Product_Description, Factory_Plant_ID, Family_ID, Part_ID) values ('AS12945T22', 'La Belle 22 5l pot', '5l 22 cm aluminium and teflon non stick pot', 1, 130);</v>
      </c>
    </row>
  </sheetData>
  <phoneticPr fontId="1" type="noConversion"/>
  <pageMargins left="0.7" right="0.7" top="0.75" bottom="0.75" header="0.3" footer="0.3"/>
  <pageSetup paperSize="9"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A03423-14BC-4B6A-8318-AD0C48152F2D}">
  <dimension ref="A1:B13"/>
  <sheetViews>
    <sheetView workbookViewId="0">
      <selection activeCell="B9" sqref="B9"/>
    </sheetView>
  </sheetViews>
  <sheetFormatPr defaultRowHeight="14.25" x14ac:dyDescent="0.45"/>
  <cols>
    <col min="2" max="2" width="11.19921875" bestFit="1" customWidth="1"/>
  </cols>
  <sheetData>
    <row r="1" spans="1:2" x14ac:dyDescent="0.45">
      <c r="A1" t="s">
        <v>144</v>
      </c>
      <c r="B1" t="s">
        <v>0</v>
      </c>
    </row>
    <row r="2" spans="1:2" x14ac:dyDescent="0.45">
      <c r="A2">
        <v>125</v>
      </c>
      <c r="B2" t="s">
        <v>146</v>
      </c>
    </row>
    <row r="3" spans="1:2" x14ac:dyDescent="0.45">
      <c r="A3">
        <v>130</v>
      </c>
      <c r="B3" t="s">
        <v>147</v>
      </c>
    </row>
    <row r="4" spans="1:2" x14ac:dyDescent="0.45">
      <c r="A4">
        <v>132</v>
      </c>
      <c r="B4" t="s">
        <v>148</v>
      </c>
    </row>
    <row r="5" spans="1:2" x14ac:dyDescent="0.45">
      <c r="A5">
        <v>145</v>
      </c>
      <c r="B5" t="s">
        <v>149</v>
      </c>
    </row>
    <row r="6" spans="1:2" x14ac:dyDescent="0.45">
      <c r="A6">
        <v>146</v>
      </c>
      <c r="B6" t="s">
        <v>150</v>
      </c>
    </row>
    <row r="9" spans="1:2" x14ac:dyDescent="0.45">
      <c r="B9" t="str">
        <f>_xlfn.CONCAT("insert into Product_Family(Product_Family_ID, Family_Description) values (",A2,", '",B2,"');")</f>
        <v>insert into Product_Family(Product_Family_ID, Family_Description) values (125, 'Pro Line pots');</v>
      </c>
    </row>
    <row r="10" spans="1:2" x14ac:dyDescent="0.45">
      <c r="B10" t="str">
        <f t="shared" ref="B10:B13" si="0">_xlfn.CONCAT("insert into Product_Family(Product_Family_ID, Family_Description) values (",A3,", '",B3,"');")</f>
        <v>insert into Product_Family(Product_Family_ID, Family_Description) values (130, 'La Belle pots');</v>
      </c>
    </row>
    <row r="11" spans="1:2" x14ac:dyDescent="0.45">
      <c r="B11" t="str">
        <f t="shared" si="0"/>
        <v>insert into Product_Family(Product_Family_ID, Family_Description) values (132, 'Pro Line pans');</v>
      </c>
    </row>
    <row r="12" spans="1:2" x14ac:dyDescent="0.45">
      <c r="B12" t="str">
        <f t="shared" si="0"/>
        <v>insert into Product_Family(Product_Family_ID, Family_Description) values (145, 'Pro Line lids');</v>
      </c>
    </row>
    <row r="13" spans="1:2" x14ac:dyDescent="0.45">
      <c r="B13" t="str">
        <f t="shared" si="0"/>
        <v>insert into Product_Family(Product_Family_ID, Family_Description) values (146, 'Pro Clear lids');</v>
      </c>
    </row>
  </sheetData>
  <pageMargins left="0.7" right="0.7" top="0.75" bottom="0.75" header="0.3" footer="0.3"/>
  <pageSetup paperSize="9" orientation="portrait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470C24-4865-4CED-BECB-9AD0BD718C1F}">
  <dimension ref="A1:H10"/>
  <sheetViews>
    <sheetView workbookViewId="0">
      <selection activeCell="I17" sqref="I17"/>
    </sheetView>
  </sheetViews>
  <sheetFormatPr defaultRowHeight="14.25" x14ac:dyDescent="0.45"/>
  <cols>
    <col min="3" max="3" width="10.9296875" bestFit="1" customWidth="1"/>
    <col min="5" max="5" width="18.796875" customWidth="1"/>
    <col min="6" max="6" width="14.53125" customWidth="1"/>
  </cols>
  <sheetData>
    <row r="1" spans="1:8" x14ac:dyDescent="0.45">
      <c r="A1" t="s">
        <v>126</v>
      </c>
      <c r="B1" t="s">
        <v>130</v>
      </c>
      <c r="C1" t="s">
        <v>127</v>
      </c>
      <c r="D1" t="s">
        <v>89</v>
      </c>
      <c r="E1" t="s">
        <v>128</v>
      </c>
      <c r="F1" t="s">
        <v>129</v>
      </c>
    </row>
    <row r="2" spans="1:8" x14ac:dyDescent="0.45">
      <c r="A2">
        <v>1</v>
      </c>
      <c r="B2">
        <v>785</v>
      </c>
      <c r="C2" t="s">
        <v>23</v>
      </c>
      <c r="D2">
        <v>5</v>
      </c>
      <c r="E2" s="1">
        <v>45550</v>
      </c>
      <c r="F2" s="1">
        <v>45558</v>
      </c>
      <c r="H2" t="str">
        <f>_xlfn.CONCAT("insert into Customer_Order_Product(Customer_Order_ID, Product_ID, Quantity) values (",A2,", '",C2,"', ",D2,");")</f>
        <v>insert into Customer_Order_Product(Customer_Order_ID, Product_ID, Quantity) values (1, 'AS12945S22', 5);</v>
      </c>
    </row>
    <row r="3" spans="1:8" x14ac:dyDescent="0.45">
      <c r="A3">
        <v>1</v>
      </c>
      <c r="B3">
        <v>785</v>
      </c>
      <c r="C3" t="s">
        <v>25</v>
      </c>
      <c r="D3">
        <v>15</v>
      </c>
      <c r="E3" s="1">
        <v>45550</v>
      </c>
      <c r="F3" s="1">
        <v>45558</v>
      </c>
      <c r="H3" t="str">
        <f t="shared" ref="H3:H10" si="0">_xlfn.CONCAT("insert into Customer_Order_Product(Customer_Order_ID, Product_ID, Quantity) values (",A3,", '",C3,"', ",D3,");")</f>
        <v>insert into Customer_Order_Product(Customer_Order_ID, Product_ID, Quantity) values (1, 'AS12945S20', 15);</v>
      </c>
    </row>
    <row r="4" spans="1:8" x14ac:dyDescent="0.45">
      <c r="A4">
        <v>2</v>
      </c>
      <c r="B4">
        <v>657</v>
      </c>
      <c r="C4" t="s">
        <v>23</v>
      </c>
      <c r="D4">
        <v>10</v>
      </c>
      <c r="E4" s="1">
        <v>45550</v>
      </c>
      <c r="F4" s="1">
        <v>45560</v>
      </c>
      <c r="H4" t="str">
        <f t="shared" si="0"/>
        <v>insert into Customer_Order_Product(Customer_Order_ID, Product_ID, Quantity) values (2, 'AS12945S22', 10);</v>
      </c>
    </row>
    <row r="5" spans="1:8" x14ac:dyDescent="0.45">
      <c r="A5">
        <v>3</v>
      </c>
      <c r="B5">
        <v>348</v>
      </c>
      <c r="C5" t="s">
        <v>23</v>
      </c>
      <c r="D5">
        <v>10</v>
      </c>
      <c r="E5" s="1">
        <v>45550</v>
      </c>
      <c r="F5" s="1">
        <v>45560</v>
      </c>
      <c r="H5" t="str">
        <f t="shared" si="0"/>
        <v>insert into Customer_Order_Product(Customer_Order_ID, Product_ID, Quantity) values (3, 'AS12945S22', 10);</v>
      </c>
    </row>
    <row r="6" spans="1:8" x14ac:dyDescent="0.45">
      <c r="A6">
        <v>3</v>
      </c>
      <c r="B6">
        <v>348</v>
      </c>
      <c r="C6" t="s">
        <v>25</v>
      </c>
      <c r="D6">
        <v>10</v>
      </c>
      <c r="E6" s="1">
        <v>45550</v>
      </c>
      <c r="F6" s="1">
        <v>45560</v>
      </c>
      <c r="H6" t="str">
        <f t="shared" si="0"/>
        <v>insert into Customer_Order_Product(Customer_Order_ID, Product_ID, Quantity) values (3, 'AS12945S20', 10);</v>
      </c>
    </row>
    <row r="7" spans="1:8" x14ac:dyDescent="0.45">
      <c r="A7">
        <v>4</v>
      </c>
      <c r="B7">
        <v>785</v>
      </c>
      <c r="C7" t="s">
        <v>23</v>
      </c>
      <c r="D7">
        <v>4</v>
      </c>
      <c r="E7" s="1">
        <v>45553</v>
      </c>
      <c r="F7" s="1">
        <v>45560</v>
      </c>
      <c r="H7" t="str">
        <f t="shared" si="0"/>
        <v>insert into Customer_Order_Product(Customer_Order_ID, Product_ID, Quantity) values (4, 'AS12945S22', 4);</v>
      </c>
    </row>
    <row r="8" spans="1:8" x14ac:dyDescent="0.45">
      <c r="A8">
        <v>5</v>
      </c>
      <c r="B8">
        <v>657</v>
      </c>
      <c r="C8" t="s">
        <v>23</v>
      </c>
      <c r="D8">
        <v>12</v>
      </c>
      <c r="E8" s="1">
        <v>45553</v>
      </c>
      <c r="F8" s="1">
        <v>45560</v>
      </c>
      <c r="H8" t="str">
        <f t="shared" si="0"/>
        <v>insert into Customer_Order_Product(Customer_Order_ID, Product_ID, Quantity) values (5, 'AS12945S22', 12);</v>
      </c>
    </row>
    <row r="9" spans="1:8" x14ac:dyDescent="0.45">
      <c r="A9">
        <v>6</v>
      </c>
      <c r="B9">
        <v>348</v>
      </c>
      <c r="C9" t="s">
        <v>28</v>
      </c>
      <c r="D9">
        <v>8</v>
      </c>
      <c r="E9" s="1">
        <v>45553</v>
      </c>
      <c r="F9" s="1">
        <v>45561</v>
      </c>
      <c r="H9" t="str">
        <f t="shared" si="0"/>
        <v>insert into Customer_Order_Product(Customer_Order_ID, Product_ID, Quantity) values (6, 'AS12945S17', 8);</v>
      </c>
    </row>
    <row r="10" spans="1:8" x14ac:dyDescent="0.45">
      <c r="A10">
        <v>7</v>
      </c>
      <c r="B10">
        <v>456</v>
      </c>
      <c r="C10" t="s">
        <v>23</v>
      </c>
      <c r="D10">
        <v>7</v>
      </c>
      <c r="E10" s="1">
        <v>45556</v>
      </c>
      <c r="F10" s="1">
        <v>45561</v>
      </c>
      <c r="H10" t="str">
        <f t="shared" si="0"/>
        <v>insert into Customer_Order_Product(Customer_Order_ID, Product_ID, Quantity) values (7, 'AS12945S22', 7);</v>
      </c>
    </row>
  </sheetData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8F968F-3FE6-476E-97DD-6EBBFE3BD57E}">
  <dimension ref="A1:E14"/>
  <sheetViews>
    <sheetView workbookViewId="0">
      <selection activeCell="B19" sqref="B19"/>
    </sheetView>
  </sheetViews>
  <sheetFormatPr defaultRowHeight="14.25" x14ac:dyDescent="0.45"/>
  <cols>
    <col min="1" max="1" width="10.53125" customWidth="1"/>
    <col min="2" max="2" width="23" customWidth="1"/>
    <col min="3" max="5" width="14.46484375" bestFit="1" customWidth="1"/>
  </cols>
  <sheetData>
    <row r="1" spans="1:5" x14ac:dyDescent="0.45">
      <c r="A1" t="s">
        <v>31</v>
      </c>
      <c r="B1" t="s">
        <v>19</v>
      </c>
      <c r="C1" t="s">
        <v>141</v>
      </c>
      <c r="D1" t="s">
        <v>141</v>
      </c>
      <c r="E1" t="s">
        <v>141</v>
      </c>
    </row>
    <row r="2" spans="1:5" x14ac:dyDescent="0.45">
      <c r="A2">
        <v>5647</v>
      </c>
      <c r="B2" t="s">
        <v>49</v>
      </c>
      <c r="C2" t="s">
        <v>33</v>
      </c>
      <c r="D2" t="s">
        <v>40</v>
      </c>
      <c r="E2" t="s">
        <v>42</v>
      </c>
    </row>
    <row r="3" spans="1:5" x14ac:dyDescent="0.45">
      <c r="A3">
        <v>5649</v>
      </c>
      <c r="B3" t="s">
        <v>50</v>
      </c>
      <c r="C3" t="s">
        <v>40</v>
      </c>
      <c r="D3" t="s">
        <v>42</v>
      </c>
    </row>
    <row r="4" spans="1:5" x14ac:dyDescent="0.45">
      <c r="A4">
        <v>5651</v>
      </c>
      <c r="B4" t="s">
        <v>51</v>
      </c>
      <c r="C4" t="s">
        <v>40</v>
      </c>
      <c r="D4" t="s">
        <v>42</v>
      </c>
    </row>
    <row r="5" spans="1:5" x14ac:dyDescent="0.45">
      <c r="A5">
        <v>5653</v>
      </c>
      <c r="B5" t="s">
        <v>54</v>
      </c>
      <c r="C5" t="s">
        <v>61</v>
      </c>
    </row>
    <row r="6" spans="1:5" x14ac:dyDescent="0.45">
      <c r="A6">
        <v>5655</v>
      </c>
      <c r="B6" t="s">
        <v>52</v>
      </c>
      <c r="C6" t="s">
        <v>40</v>
      </c>
      <c r="D6" t="s">
        <v>42</v>
      </c>
    </row>
    <row r="7" spans="1:5" x14ac:dyDescent="0.45">
      <c r="A7">
        <v>5657</v>
      </c>
      <c r="B7" t="s">
        <v>53</v>
      </c>
      <c r="C7" t="s">
        <v>61</v>
      </c>
    </row>
    <row r="8" spans="1:5" x14ac:dyDescent="0.45">
      <c r="A8">
        <v>5659</v>
      </c>
      <c r="B8" t="s">
        <v>55</v>
      </c>
      <c r="C8" t="s">
        <v>48</v>
      </c>
    </row>
    <row r="9" spans="1:5" x14ac:dyDescent="0.45">
      <c r="A9">
        <v>5661</v>
      </c>
      <c r="B9" t="s">
        <v>86</v>
      </c>
      <c r="C9" t="s">
        <v>85</v>
      </c>
    </row>
    <row r="10" spans="1:5" x14ac:dyDescent="0.45">
      <c r="A10">
        <v>5663</v>
      </c>
      <c r="B10" t="s">
        <v>56</v>
      </c>
      <c r="C10" t="s">
        <v>60</v>
      </c>
    </row>
    <row r="11" spans="1:5" x14ac:dyDescent="0.45">
      <c r="A11">
        <v>5665</v>
      </c>
      <c r="B11" t="s">
        <v>64</v>
      </c>
      <c r="C11" t="s">
        <v>63</v>
      </c>
    </row>
    <row r="12" spans="1:5" x14ac:dyDescent="0.45">
      <c r="A12">
        <v>5667</v>
      </c>
      <c r="B12" t="s">
        <v>65</v>
      </c>
      <c r="C12" t="s">
        <v>71</v>
      </c>
    </row>
    <row r="13" spans="1:5" x14ac:dyDescent="0.45">
      <c r="A13">
        <v>5669</v>
      </c>
      <c r="B13" t="s">
        <v>66</v>
      </c>
      <c r="C13" t="s">
        <v>71</v>
      </c>
    </row>
    <row r="14" spans="1:5" x14ac:dyDescent="0.45">
      <c r="A14">
        <v>5671</v>
      </c>
      <c r="B14" t="s">
        <v>67</v>
      </c>
      <c r="C14" t="s">
        <v>70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DD0435-19DE-4DF5-9218-C7C340215B5E}">
  <dimension ref="A1:B14"/>
  <sheetViews>
    <sheetView workbookViewId="0">
      <selection activeCell="A11" sqref="A11"/>
    </sheetView>
  </sheetViews>
  <sheetFormatPr defaultRowHeight="14.25" x14ac:dyDescent="0.45"/>
  <cols>
    <col min="1" max="1" width="14.53125" customWidth="1"/>
    <col min="2" max="2" width="27.06640625" bestFit="1" customWidth="1"/>
  </cols>
  <sheetData>
    <row r="1" spans="1:2" x14ac:dyDescent="0.45">
      <c r="A1" t="s">
        <v>35</v>
      </c>
      <c r="B1" t="s">
        <v>0</v>
      </c>
    </row>
    <row r="2" spans="1:2" x14ac:dyDescent="0.45">
      <c r="A2" t="s">
        <v>33</v>
      </c>
      <c r="B2" t="s">
        <v>32</v>
      </c>
    </row>
    <row r="3" spans="1:2" x14ac:dyDescent="0.45">
      <c r="A3" t="s">
        <v>40</v>
      </c>
      <c r="B3" t="s">
        <v>41</v>
      </c>
    </row>
    <row r="4" spans="1:2" x14ac:dyDescent="0.45">
      <c r="A4" t="s">
        <v>42</v>
      </c>
      <c r="B4" t="s">
        <v>43</v>
      </c>
    </row>
    <row r="5" spans="1:2" x14ac:dyDescent="0.45">
      <c r="A5" t="s">
        <v>48</v>
      </c>
      <c r="B5" t="s">
        <v>57</v>
      </c>
    </row>
    <row r="6" spans="1:2" x14ac:dyDescent="0.45">
      <c r="A6" t="s">
        <v>60</v>
      </c>
      <c r="B6" t="s">
        <v>58</v>
      </c>
    </row>
    <row r="7" spans="1:2" x14ac:dyDescent="0.45">
      <c r="A7" t="s">
        <v>106</v>
      </c>
      <c r="B7" t="s">
        <v>107</v>
      </c>
    </row>
    <row r="8" spans="1:2" x14ac:dyDescent="0.45">
      <c r="A8" t="s">
        <v>61</v>
      </c>
      <c r="B8" t="s">
        <v>59</v>
      </c>
    </row>
    <row r="9" spans="1:2" x14ac:dyDescent="0.45">
      <c r="A9" t="s">
        <v>63</v>
      </c>
      <c r="B9" t="s">
        <v>62</v>
      </c>
    </row>
    <row r="10" spans="1:2" x14ac:dyDescent="0.45">
      <c r="A10" t="s">
        <v>70</v>
      </c>
      <c r="B10" t="s">
        <v>68</v>
      </c>
    </row>
    <row r="11" spans="1:2" x14ac:dyDescent="0.45">
      <c r="A11" t="s">
        <v>71</v>
      </c>
      <c r="B11" t="s">
        <v>69</v>
      </c>
    </row>
    <row r="12" spans="1:2" x14ac:dyDescent="0.45">
      <c r="A12" t="s">
        <v>85</v>
      </c>
      <c r="B12" t="s">
        <v>84</v>
      </c>
    </row>
    <row r="13" spans="1:2" x14ac:dyDescent="0.45">
      <c r="A13" t="s">
        <v>112</v>
      </c>
      <c r="B13" t="s">
        <v>113</v>
      </c>
    </row>
    <row r="14" spans="1:2" x14ac:dyDescent="0.45">
      <c r="A14" t="s">
        <v>114</v>
      </c>
      <c r="B14" t="s">
        <v>115</v>
      </c>
    </row>
  </sheetData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18E112-BCDE-455B-843A-6C293EDE0CEE}">
  <dimension ref="A1:D22"/>
  <sheetViews>
    <sheetView tabSelected="1" workbookViewId="0">
      <selection activeCell="A23" sqref="A23"/>
    </sheetView>
  </sheetViews>
  <sheetFormatPr defaultRowHeight="14.25" x14ac:dyDescent="0.45"/>
  <cols>
    <col min="3" max="3" width="14.265625" customWidth="1"/>
    <col min="4" max="4" width="30.46484375" bestFit="1" customWidth="1"/>
  </cols>
  <sheetData>
    <row r="1" spans="1:4" x14ac:dyDescent="0.45">
      <c r="A1" t="s">
        <v>34</v>
      </c>
      <c r="B1" t="s">
        <v>35</v>
      </c>
      <c r="C1" t="s">
        <v>0</v>
      </c>
      <c r="D1" t="s">
        <v>19</v>
      </c>
    </row>
    <row r="2" spans="1:4" x14ac:dyDescent="0.45">
      <c r="A2">
        <v>9875</v>
      </c>
      <c r="B2" t="s">
        <v>33</v>
      </c>
      <c r="C2" t="s">
        <v>36</v>
      </c>
      <c r="D2" t="s">
        <v>46</v>
      </c>
    </row>
    <row r="3" spans="1:4" x14ac:dyDescent="0.45">
      <c r="A3">
        <v>9886</v>
      </c>
      <c r="B3" t="s">
        <v>33</v>
      </c>
      <c r="C3" t="s">
        <v>38</v>
      </c>
      <c r="D3" t="s">
        <v>46</v>
      </c>
    </row>
    <row r="4" spans="1:4" x14ac:dyDescent="0.45">
      <c r="A4">
        <v>9847</v>
      </c>
      <c r="B4" t="s">
        <v>40</v>
      </c>
      <c r="C4" t="s">
        <v>39</v>
      </c>
      <c r="D4" t="s">
        <v>37</v>
      </c>
    </row>
    <row r="5" spans="1:4" x14ac:dyDescent="0.45">
      <c r="A5">
        <v>9855</v>
      </c>
      <c r="B5" t="s">
        <v>40</v>
      </c>
      <c r="C5" t="s">
        <v>44</v>
      </c>
      <c r="D5" t="s">
        <v>45</v>
      </c>
    </row>
    <row r="6" spans="1:4" x14ac:dyDescent="0.45">
      <c r="A6">
        <v>8541</v>
      </c>
      <c r="B6" t="s">
        <v>48</v>
      </c>
      <c r="C6" t="s">
        <v>74</v>
      </c>
      <c r="D6" t="s">
        <v>47</v>
      </c>
    </row>
    <row r="7" spans="1:4" x14ac:dyDescent="0.45">
      <c r="A7">
        <v>8543</v>
      </c>
      <c r="B7" t="s">
        <v>48</v>
      </c>
      <c r="C7" t="s">
        <v>75</v>
      </c>
      <c r="D7" t="s">
        <v>47</v>
      </c>
    </row>
    <row r="8" spans="1:4" x14ac:dyDescent="0.45">
      <c r="A8">
        <v>6814</v>
      </c>
      <c r="B8" t="s">
        <v>60</v>
      </c>
      <c r="C8" t="s">
        <v>100</v>
      </c>
      <c r="D8" t="s">
        <v>105</v>
      </c>
    </row>
    <row r="9" spans="1:4" x14ac:dyDescent="0.45">
      <c r="A9">
        <v>6815</v>
      </c>
      <c r="B9" t="s">
        <v>60</v>
      </c>
      <c r="C9" t="s">
        <v>101</v>
      </c>
      <c r="D9" t="s">
        <v>105</v>
      </c>
    </row>
    <row r="10" spans="1:4" x14ac:dyDescent="0.45">
      <c r="A10">
        <v>6816</v>
      </c>
      <c r="B10" t="s">
        <v>60</v>
      </c>
      <c r="C10" t="s">
        <v>102</v>
      </c>
      <c r="D10" t="s">
        <v>105</v>
      </c>
    </row>
    <row r="11" spans="1:4" x14ac:dyDescent="0.45">
      <c r="A11">
        <v>6821</v>
      </c>
      <c r="B11" t="s">
        <v>60</v>
      </c>
      <c r="C11" t="s">
        <v>103</v>
      </c>
      <c r="D11" t="s">
        <v>105</v>
      </c>
    </row>
    <row r="12" spans="1:4" x14ac:dyDescent="0.45">
      <c r="A12">
        <v>6822</v>
      </c>
      <c r="B12" t="s">
        <v>106</v>
      </c>
      <c r="C12" t="s">
        <v>104</v>
      </c>
      <c r="D12" t="s">
        <v>105</v>
      </c>
    </row>
    <row r="13" spans="1:4" x14ac:dyDescent="0.45">
      <c r="A13">
        <v>8167</v>
      </c>
      <c r="B13" t="s">
        <v>63</v>
      </c>
      <c r="C13" t="s">
        <v>108</v>
      </c>
      <c r="D13" t="s">
        <v>111</v>
      </c>
    </row>
    <row r="14" spans="1:4" x14ac:dyDescent="0.45">
      <c r="A14">
        <v>8170</v>
      </c>
      <c r="B14" t="s">
        <v>63</v>
      </c>
      <c r="C14" t="s">
        <v>109</v>
      </c>
      <c r="D14" t="s">
        <v>111</v>
      </c>
    </row>
    <row r="15" spans="1:4" x14ac:dyDescent="0.45">
      <c r="A15">
        <v>8171</v>
      </c>
      <c r="B15" t="s">
        <v>63</v>
      </c>
      <c r="C15" t="s">
        <v>110</v>
      </c>
      <c r="D15" t="s">
        <v>111</v>
      </c>
    </row>
    <row r="16" spans="1:4" x14ac:dyDescent="0.45">
      <c r="A16">
        <v>7235</v>
      </c>
      <c r="B16" t="s">
        <v>85</v>
      </c>
      <c r="C16" t="s">
        <v>116</v>
      </c>
      <c r="D16" t="s">
        <v>119</v>
      </c>
    </row>
    <row r="17" spans="1:4" x14ac:dyDescent="0.45">
      <c r="A17">
        <v>7236</v>
      </c>
      <c r="B17" t="s">
        <v>85</v>
      </c>
      <c r="C17" t="s">
        <v>117</v>
      </c>
      <c r="D17" t="s">
        <v>119</v>
      </c>
    </row>
    <row r="18" spans="1:4" x14ac:dyDescent="0.45">
      <c r="A18">
        <v>7238</v>
      </c>
      <c r="B18" t="s">
        <v>85</v>
      </c>
      <c r="C18" t="s">
        <v>118</v>
      </c>
      <c r="D18" t="s">
        <v>119</v>
      </c>
    </row>
    <row r="19" spans="1:4" x14ac:dyDescent="0.45">
      <c r="A19">
        <v>5124</v>
      </c>
      <c r="B19" t="s">
        <v>61</v>
      </c>
      <c r="C19" t="s">
        <v>120</v>
      </c>
      <c r="D19" t="s">
        <v>121</v>
      </c>
    </row>
    <row r="20" spans="1:4" x14ac:dyDescent="0.45">
      <c r="A20">
        <v>4123</v>
      </c>
      <c r="B20" t="s">
        <v>71</v>
      </c>
      <c r="C20" t="s">
        <v>122</v>
      </c>
      <c r="D20" t="s">
        <v>125</v>
      </c>
    </row>
    <row r="21" spans="1:4" x14ac:dyDescent="0.45">
      <c r="A21">
        <v>4124</v>
      </c>
      <c r="B21" t="s">
        <v>71</v>
      </c>
      <c r="C21" t="s">
        <v>123</v>
      </c>
      <c r="D21" t="s">
        <v>125</v>
      </c>
    </row>
    <row r="22" spans="1:4" x14ac:dyDescent="0.45">
      <c r="A22">
        <v>4125</v>
      </c>
      <c r="B22" t="s">
        <v>71</v>
      </c>
      <c r="C22" t="s">
        <v>124</v>
      </c>
      <c r="D22" t="s">
        <v>125</v>
      </c>
    </row>
  </sheetData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33FD3A-319E-497B-BBC6-9FC6F2F78F3D}">
  <dimension ref="A1:D60"/>
  <sheetViews>
    <sheetView topLeftCell="A6" workbookViewId="0">
      <selection activeCell="B60" sqref="B60"/>
    </sheetView>
  </sheetViews>
  <sheetFormatPr defaultRowHeight="14.25" x14ac:dyDescent="0.45"/>
  <cols>
    <col min="1" max="1" width="14.19921875" customWidth="1"/>
    <col min="2" max="2" width="17.73046875" customWidth="1"/>
    <col min="3" max="3" width="32.9296875" bestFit="1" customWidth="1"/>
  </cols>
  <sheetData>
    <row r="1" spans="1:4" x14ac:dyDescent="0.45">
      <c r="A1" t="s">
        <v>72</v>
      </c>
      <c r="B1" t="s">
        <v>76</v>
      </c>
      <c r="C1" t="s">
        <v>19</v>
      </c>
      <c r="D1" t="s">
        <v>89</v>
      </c>
    </row>
    <row r="2" spans="1:4" x14ac:dyDescent="0.45">
      <c r="A2" t="s">
        <v>23</v>
      </c>
      <c r="B2" t="s">
        <v>87</v>
      </c>
      <c r="C2" t="s">
        <v>88</v>
      </c>
      <c r="D2">
        <v>1</v>
      </c>
    </row>
    <row r="3" spans="1:4" x14ac:dyDescent="0.45">
      <c r="A3" t="s">
        <v>23</v>
      </c>
      <c r="B3" t="s">
        <v>94</v>
      </c>
      <c r="C3" t="s">
        <v>90</v>
      </c>
      <c r="D3">
        <v>1</v>
      </c>
    </row>
    <row r="4" spans="1:4" x14ac:dyDescent="0.45">
      <c r="A4" t="s">
        <v>23</v>
      </c>
      <c r="B4" t="s">
        <v>95</v>
      </c>
      <c r="C4" t="s">
        <v>91</v>
      </c>
      <c r="D4">
        <v>1</v>
      </c>
    </row>
    <row r="5" spans="1:4" x14ac:dyDescent="0.45">
      <c r="A5" t="s">
        <v>23</v>
      </c>
      <c r="B5" t="s">
        <v>92</v>
      </c>
      <c r="C5" t="s">
        <v>93</v>
      </c>
      <c r="D5">
        <v>4</v>
      </c>
    </row>
    <row r="6" spans="1:4" x14ac:dyDescent="0.45">
      <c r="A6" t="s">
        <v>23</v>
      </c>
      <c r="B6" t="s">
        <v>96</v>
      </c>
      <c r="C6" t="s">
        <v>99</v>
      </c>
      <c r="D6">
        <v>2</v>
      </c>
    </row>
    <row r="7" spans="1:4" x14ac:dyDescent="0.45">
      <c r="A7" t="s">
        <v>23</v>
      </c>
      <c r="B7" t="s">
        <v>97</v>
      </c>
      <c r="C7" t="s">
        <v>98</v>
      </c>
      <c r="D7">
        <v>1</v>
      </c>
    </row>
    <row r="8" spans="1:4" x14ac:dyDescent="0.45">
      <c r="A8" t="s">
        <v>25</v>
      </c>
      <c r="B8" t="s">
        <v>87</v>
      </c>
      <c r="C8" t="s">
        <v>88</v>
      </c>
      <c r="D8">
        <v>1</v>
      </c>
    </row>
    <row r="9" spans="1:4" x14ac:dyDescent="0.45">
      <c r="A9" t="s">
        <v>25</v>
      </c>
      <c r="B9" t="s">
        <v>94</v>
      </c>
      <c r="C9" t="s">
        <v>90</v>
      </c>
      <c r="D9">
        <v>1</v>
      </c>
    </row>
    <row r="10" spans="1:4" x14ac:dyDescent="0.45">
      <c r="A10" t="s">
        <v>25</v>
      </c>
      <c r="B10" t="s">
        <v>95</v>
      </c>
      <c r="C10" t="s">
        <v>91</v>
      </c>
      <c r="D10">
        <v>1</v>
      </c>
    </row>
    <row r="11" spans="1:4" x14ac:dyDescent="0.45">
      <c r="A11" t="s">
        <v>25</v>
      </c>
      <c r="B11" t="s">
        <v>92</v>
      </c>
      <c r="C11" t="s">
        <v>93</v>
      </c>
      <c r="D11">
        <v>4</v>
      </c>
    </row>
    <row r="12" spans="1:4" x14ac:dyDescent="0.45">
      <c r="A12" t="s">
        <v>25</v>
      </c>
      <c r="B12" t="s">
        <v>96</v>
      </c>
      <c r="C12" t="s">
        <v>99</v>
      </c>
      <c r="D12">
        <v>2</v>
      </c>
    </row>
    <row r="13" spans="1:4" x14ac:dyDescent="0.45">
      <c r="A13" t="s">
        <v>25</v>
      </c>
      <c r="B13" t="s">
        <v>143</v>
      </c>
      <c r="C13" t="s">
        <v>142</v>
      </c>
      <c r="D13">
        <v>1</v>
      </c>
    </row>
    <row r="14" spans="1:4" x14ac:dyDescent="0.45">
      <c r="A14" t="s">
        <v>28</v>
      </c>
      <c r="B14" t="s">
        <v>87</v>
      </c>
      <c r="C14" t="s">
        <v>88</v>
      </c>
      <c r="D14">
        <v>1</v>
      </c>
    </row>
    <row r="15" spans="1:4" x14ac:dyDescent="0.45">
      <c r="A15" t="s">
        <v>28</v>
      </c>
      <c r="B15" t="s">
        <v>159</v>
      </c>
      <c r="C15" t="s">
        <v>162</v>
      </c>
      <c r="D15">
        <v>1</v>
      </c>
    </row>
    <row r="16" spans="1:4" x14ac:dyDescent="0.45">
      <c r="A16" t="s">
        <v>28</v>
      </c>
      <c r="B16" t="s">
        <v>160</v>
      </c>
      <c r="C16" t="s">
        <v>161</v>
      </c>
      <c r="D16">
        <v>1</v>
      </c>
    </row>
    <row r="17" spans="1:4" x14ac:dyDescent="0.45">
      <c r="A17" t="s">
        <v>28</v>
      </c>
      <c r="B17" t="s">
        <v>92</v>
      </c>
      <c r="C17" t="s">
        <v>93</v>
      </c>
      <c r="D17">
        <v>4</v>
      </c>
    </row>
    <row r="18" spans="1:4" x14ac:dyDescent="0.45">
      <c r="A18" t="s">
        <v>28</v>
      </c>
      <c r="B18" t="s">
        <v>96</v>
      </c>
      <c r="C18" t="s">
        <v>99</v>
      </c>
      <c r="D18">
        <v>2</v>
      </c>
    </row>
    <row r="19" spans="1:4" x14ac:dyDescent="0.45">
      <c r="A19" t="s">
        <v>28</v>
      </c>
      <c r="B19" t="s">
        <v>143</v>
      </c>
      <c r="C19" t="s">
        <v>142</v>
      </c>
      <c r="D19">
        <v>1</v>
      </c>
    </row>
    <row r="23" spans="1:4" x14ac:dyDescent="0.45">
      <c r="B23" t="str">
        <f t="shared" ref="B23:B29" si="0">_xlfn.CONCAT("insert into Component(Component_ID, Component_Description) values ('",B2,"', '",C2,"');")</f>
        <v>insert into Component(Component_ID, Component_Description) values ('PN12344A21', 'Screw M6 35 mm');</v>
      </c>
    </row>
    <row r="24" spans="1:4" x14ac:dyDescent="0.45">
      <c r="B24" t="str">
        <f t="shared" si="0"/>
        <v>insert into Component(Component_ID, Component_Description) values ('PN52384R50', '300x300 mm 5mm stainless steel sheet');</v>
      </c>
    </row>
    <row r="25" spans="1:4" x14ac:dyDescent="0.45">
      <c r="B25" t="str">
        <f t="shared" si="0"/>
        <v>insert into Component(Component_ID, Component_Description) values ('PN52384R10', '300x300 mm 1mm stainless steel sheet');</v>
      </c>
    </row>
    <row r="26" spans="1:4" x14ac:dyDescent="0.45">
      <c r="B26" t="str">
        <f t="shared" si="0"/>
        <v>insert into Component(Component_ID, Component_Description) values ('PN18544A21', 'Rivet 6 mm');</v>
      </c>
    </row>
    <row r="27" spans="1:4" x14ac:dyDescent="0.45">
      <c r="B27" t="str">
        <f t="shared" si="0"/>
        <v>insert into Component(Component_ID, Component_Description) values ('PN18544C21', 'Stainless steel handle model U6');</v>
      </c>
    </row>
    <row r="28" spans="1:4" x14ac:dyDescent="0.45">
      <c r="B28" t="str">
        <f t="shared" si="0"/>
        <v>insert into Component(Component_ID, Component_Description) values ('PN18324C54', 'Stainless steel handle model R12');</v>
      </c>
    </row>
    <row r="29" spans="1:4" x14ac:dyDescent="0.45">
      <c r="B29" t="str">
        <f t="shared" si="0"/>
        <v>insert into Component(Component_ID, Component_Description) values ('PN12344A21', 'Screw M6 35 mm');</v>
      </c>
    </row>
    <row r="30" spans="1:4" x14ac:dyDescent="0.45">
      <c r="B30" t="str">
        <f t="shared" ref="B30:B40" si="1">_xlfn.CONCAT("insert into Component(Component_ID, Component_Description) values ('",B9,"', '",C9,"');")</f>
        <v>insert into Component(Component_ID, Component_Description) values ('PN52384R50', '300x300 mm 5mm stainless steel sheet');</v>
      </c>
    </row>
    <row r="31" spans="1:4" x14ac:dyDescent="0.45">
      <c r="B31" t="str">
        <f t="shared" si="1"/>
        <v>insert into Component(Component_ID, Component_Description) values ('PN52384R10', '300x300 mm 1mm stainless steel sheet');</v>
      </c>
    </row>
    <row r="32" spans="1:4" x14ac:dyDescent="0.45">
      <c r="B32" t="str">
        <f t="shared" si="1"/>
        <v>insert into Component(Component_ID, Component_Description) values ('PN18544A21', 'Rivet 6 mm');</v>
      </c>
    </row>
    <row r="33" spans="2:2" x14ac:dyDescent="0.45">
      <c r="B33" t="str">
        <f t="shared" si="1"/>
        <v>insert into Component(Component_ID, Component_Description) values ('PN18544C21', 'Stainless steel handle model U6');</v>
      </c>
    </row>
    <row r="34" spans="2:2" x14ac:dyDescent="0.45">
      <c r="B34" t="str">
        <f t="shared" si="1"/>
        <v>insert into Component(Component_ID, Component_Description) values ('PN18324C51', 'Stainless steel handle model R11');</v>
      </c>
    </row>
    <row r="35" spans="2:2" x14ac:dyDescent="0.45">
      <c r="B35" t="str">
        <f t="shared" si="1"/>
        <v>insert into Component(Component_ID, Component_Description) values ('PN12344A21', 'Screw M6 35 mm');</v>
      </c>
    </row>
    <row r="36" spans="2:2" x14ac:dyDescent="0.45">
      <c r="B36" t="str">
        <f t="shared" si="1"/>
        <v>insert into Component(Component_ID, Component_Description) values ('PN52384R45', '250x250 mm 5mm stainless steel sheet');</v>
      </c>
    </row>
    <row r="37" spans="2:2" x14ac:dyDescent="0.45">
      <c r="B37" t="str">
        <f t="shared" si="1"/>
        <v>insert into Component(Component_ID, Component_Description) values ('PN52384R12', '250x250 mm 1mm stainless steel sheet');</v>
      </c>
    </row>
    <row r="38" spans="2:2" x14ac:dyDescent="0.45">
      <c r="B38" t="str">
        <f t="shared" si="1"/>
        <v>insert into Component(Component_ID, Component_Description) values ('PN18544A21', 'Rivet 6 mm');</v>
      </c>
    </row>
    <row r="39" spans="2:2" x14ac:dyDescent="0.45">
      <c r="B39" t="str">
        <f t="shared" si="1"/>
        <v>insert into Component(Component_ID, Component_Description) values ('PN18544C21', 'Stainless steel handle model U6');</v>
      </c>
    </row>
    <row r="40" spans="2:2" x14ac:dyDescent="0.45">
      <c r="B40" t="str">
        <f t="shared" si="1"/>
        <v>insert into Component(Component_ID, Component_Description) values ('PN18324C51', 'Stainless steel handle model R11');</v>
      </c>
    </row>
    <row r="43" spans="2:2" x14ac:dyDescent="0.45">
      <c r="B43" t="str">
        <f>_xlfn.CONCAT("insert into BOM(Product_ID, Component_ID, Component_Quantity) values ('",A2,"', '",B2,"', ",D2,");")</f>
        <v>insert into BOM(Product_ID, Component_ID, Component_Quantity) values ('AS12945S22', 'PN12344A21', 1);</v>
      </c>
    </row>
    <row r="44" spans="2:2" x14ac:dyDescent="0.45">
      <c r="B44" t="str">
        <f t="shared" ref="B44:B60" si="2">_xlfn.CONCAT("insert into BOM(Product_ID, Component_ID, Component_Quantity) values ('",A3,"', '",B3,"', ",D3,");")</f>
        <v>insert into BOM(Product_ID, Component_ID, Component_Quantity) values ('AS12945S22', 'PN52384R50', 1);</v>
      </c>
    </row>
    <row r="45" spans="2:2" x14ac:dyDescent="0.45">
      <c r="B45" t="str">
        <f t="shared" si="2"/>
        <v>insert into BOM(Product_ID, Component_ID, Component_Quantity) values ('AS12945S22', 'PN52384R10', 1);</v>
      </c>
    </row>
    <row r="46" spans="2:2" x14ac:dyDescent="0.45">
      <c r="B46" t="str">
        <f t="shared" si="2"/>
        <v>insert into BOM(Product_ID, Component_ID, Component_Quantity) values ('AS12945S22', 'PN18544A21', 4);</v>
      </c>
    </row>
    <row r="47" spans="2:2" x14ac:dyDescent="0.45">
      <c r="B47" t="str">
        <f t="shared" si="2"/>
        <v>insert into BOM(Product_ID, Component_ID, Component_Quantity) values ('AS12945S22', 'PN18544C21', 2);</v>
      </c>
    </row>
    <row r="48" spans="2:2" x14ac:dyDescent="0.45">
      <c r="B48" t="str">
        <f t="shared" si="2"/>
        <v>insert into BOM(Product_ID, Component_ID, Component_Quantity) values ('AS12945S22', 'PN18324C54', 1);</v>
      </c>
    </row>
    <row r="49" spans="2:2" x14ac:dyDescent="0.45">
      <c r="B49" t="str">
        <f t="shared" si="2"/>
        <v>insert into BOM(Product_ID, Component_ID, Component_Quantity) values ('AS12945S20', 'PN12344A21', 1);</v>
      </c>
    </row>
    <row r="50" spans="2:2" x14ac:dyDescent="0.45">
      <c r="B50" t="str">
        <f t="shared" si="2"/>
        <v>insert into BOM(Product_ID, Component_ID, Component_Quantity) values ('AS12945S20', 'PN52384R50', 1);</v>
      </c>
    </row>
    <row r="51" spans="2:2" x14ac:dyDescent="0.45">
      <c r="B51" t="str">
        <f t="shared" si="2"/>
        <v>insert into BOM(Product_ID, Component_ID, Component_Quantity) values ('AS12945S20', 'PN52384R10', 1);</v>
      </c>
    </row>
    <row r="52" spans="2:2" x14ac:dyDescent="0.45">
      <c r="B52" t="str">
        <f t="shared" si="2"/>
        <v>insert into BOM(Product_ID, Component_ID, Component_Quantity) values ('AS12945S20', 'PN18544A21', 4);</v>
      </c>
    </row>
    <row r="53" spans="2:2" x14ac:dyDescent="0.45">
      <c r="B53" t="str">
        <f t="shared" si="2"/>
        <v>insert into BOM(Product_ID, Component_ID, Component_Quantity) values ('AS12945S20', 'PN18544C21', 2);</v>
      </c>
    </row>
    <row r="54" spans="2:2" x14ac:dyDescent="0.45">
      <c r="B54" t="str">
        <f t="shared" si="2"/>
        <v>insert into BOM(Product_ID, Component_ID, Component_Quantity) values ('AS12945S20', 'PN18324C51', 1);</v>
      </c>
    </row>
    <row r="55" spans="2:2" x14ac:dyDescent="0.45">
      <c r="B55" t="str">
        <f t="shared" si="2"/>
        <v>insert into BOM(Product_ID, Component_ID, Component_Quantity) values ('AS12945S17', 'PN12344A21', 1);</v>
      </c>
    </row>
    <row r="56" spans="2:2" x14ac:dyDescent="0.45">
      <c r="B56" t="str">
        <f t="shared" si="2"/>
        <v>insert into BOM(Product_ID, Component_ID, Component_Quantity) values ('AS12945S17', 'PN52384R45', 1);</v>
      </c>
    </row>
    <row r="57" spans="2:2" x14ac:dyDescent="0.45">
      <c r="B57" t="str">
        <f t="shared" si="2"/>
        <v>insert into BOM(Product_ID, Component_ID, Component_Quantity) values ('AS12945S17', 'PN52384R12', 1);</v>
      </c>
    </row>
    <row r="58" spans="2:2" x14ac:dyDescent="0.45">
      <c r="B58" t="str">
        <f t="shared" si="2"/>
        <v>insert into BOM(Product_ID, Component_ID, Component_Quantity) values ('AS12945S17', 'PN18544A21', 4);</v>
      </c>
    </row>
    <row r="59" spans="2:2" x14ac:dyDescent="0.45">
      <c r="B59" t="str">
        <f t="shared" si="2"/>
        <v>insert into BOM(Product_ID, Component_ID, Component_Quantity) values ('AS12945S17', 'PN18544C21', 2);</v>
      </c>
    </row>
    <row r="60" spans="2:2" x14ac:dyDescent="0.45">
      <c r="B60" t="str">
        <f t="shared" si="2"/>
        <v>insert into BOM(Product_ID, Component_ID, Component_Quantity) values ('AS12945S17', 'PN18324C51', 1);</v>
      </c>
    </row>
  </sheetData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9B436D-7E6F-45CD-A274-6E2AE1A9129E}">
  <dimension ref="A1:C28"/>
  <sheetViews>
    <sheetView workbookViewId="0">
      <selection activeCell="C17" sqref="C17:C28"/>
    </sheetView>
  </sheetViews>
  <sheetFormatPr defaultRowHeight="14.25" x14ac:dyDescent="0.45"/>
  <cols>
    <col min="1" max="1" width="7.796875" bestFit="1" customWidth="1"/>
    <col min="2" max="2" width="10.796875" customWidth="1"/>
    <col min="3" max="3" width="9.73046875" bestFit="1" customWidth="1"/>
  </cols>
  <sheetData>
    <row r="1" spans="1:3" x14ac:dyDescent="0.45">
      <c r="A1" t="s">
        <v>155</v>
      </c>
      <c r="B1" t="s">
        <v>31</v>
      </c>
      <c r="C1" t="s">
        <v>73</v>
      </c>
    </row>
    <row r="2" spans="1:3" x14ac:dyDescent="0.45">
      <c r="A2">
        <v>125</v>
      </c>
      <c r="B2">
        <v>5647</v>
      </c>
      <c r="C2">
        <v>1</v>
      </c>
    </row>
    <row r="3" spans="1:3" x14ac:dyDescent="0.45">
      <c r="A3">
        <v>125</v>
      </c>
      <c r="B3">
        <v>5647</v>
      </c>
      <c r="C3">
        <v>2</v>
      </c>
    </row>
    <row r="4" spans="1:3" x14ac:dyDescent="0.45">
      <c r="A4">
        <v>125</v>
      </c>
      <c r="B4">
        <v>5649</v>
      </c>
      <c r="C4">
        <v>3</v>
      </c>
    </row>
    <row r="5" spans="1:3" x14ac:dyDescent="0.45">
      <c r="A5">
        <v>125</v>
      </c>
      <c r="B5">
        <v>5651</v>
      </c>
      <c r="C5">
        <v>4</v>
      </c>
    </row>
    <row r="6" spans="1:3" x14ac:dyDescent="0.45">
      <c r="A6">
        <v>125</v>
      </c>
      <c r="B6">
        <v>5653</v>
      </c>
      <c r="C6">
        <v>5</v>
      </c>
    </row>
    <row r="7" spans="1:3" x14ac:dyDescent="0.45">
      <c r="A7">
        <v>125</v>
      </c>
      <c r="B7">
        <v>5659</v>
      </c>
      <c r="C7">
        <v>6</v>
      </c>
    </row>
    <row r="8" spans="1:3" x14ac:dyDescent="0.45">
      <c r="A8">
        <v>125</v>
      </c>
      <c r="B8">
        <v>5669</v>
      </c>
      <c r="C8">
        <v>7</v>
      </c>
    </row>
    <row r="9" spans="1:3" x14ac:dyDescent="0.45">
      <c r="A9">
        <v>125</v>
      </c>
      <c r="B9">
        <v>5655</v>
      </c>
      <c r="C9">
        <v>8</v>
      </c>
    </row>
    <row r="10" spans="1:3" x14ac:dyDescent="0.45">
      <c r="A10">
        <v>125</v>
      </c>
      <c r="B10">
        <v>5657</v>
      </c>
      <c r="C10">
        <v>9</v>
      </c>
    </row>
    <row r="11" spans="1:3" x14ac:dyDescent="0.45">
      <c r="A11">
        <v>125</v>
      </c>
      <c r="B11">
        <v>5661</v>
      </c>
      <c r="C11">
        <v>10</v>
      </c>
    </row>
    <row r="12" spans="1:3" x14ac:dyDescent="0.45">
      <c r="A12">
        <v>125</v>
      </c>
      <c r="B12">
        <v>5667</v>
      </c>
      <c r="C12">
        <v>11</v>
      </c>
    </row>
    <row r="13" spans="1:3" x14ac:dyDescent="0.45">
      <c r="A13">
        <v>125</v>
      </c>
      <c r="B13">
        <v>5663</v>
      </c>
      <c r="C13">
        <v>12</v>
      </c>
    </row>
    <row r="17" spans="3:3" x14ac:dyDescent="0.45">
      <c r="C17" t="str">
        <f>_xlfn.CONCAT("insert into BOO(Product_Family_ID, Manufacturing_Operation_ID, Operation_Order) values ('",A2,"', ",B2,", ",C2,");")</f>
        <v>insert into BOO(Product_Family_ID, Manufacturing_Operation_ID, Operation_Order) values ('125', 5647, 1);</v>
      </c>
    </row>
    <row r="18" spans="3:3" x14ac:dyDescent="0.45">
      <c r="C18" t="str">
        <f t="shared" ref="C18:C28" si="0">_xlfn.CONCAT("insert into BOO(Product_Family_ID, Manufacturing_Operation_ID, Operation_Order) values ('",A3,"', ",B3,", ",C3,");")</f>
        <v>insert into BOO(Product_Family_ID, Manufacturing_Operation_ID, Operation_Order) values ('125', 5647, 2);</v>
      </c>
    </row>
    <row r="19" spans="3:3" x14ac:dyDescent="0.45">
      <c r="C19" t="str">
        <f t="shared" si="0"/>
        <v>insert into BOO(Product_Family_ID, Manufacturing_Operation_ID, Operation_Order) values ('125', 5649, 3);</v>
      </c>
    </row>
    <row r="20" spans="3:3" x14ac:dyDescent="0.45">
      <c r="C20" t="str">
        <f t="shared" si="0"/>
        <v>insert into BOO(Product_Family_ID, Manufacturing_Operation_ID, Operation_Order) values ('125', 5651, 4);</v>
      </c>
    </row>
    <row r="21" spans="3:3" x14ac:dyDescent="0.45">
      <c r="C21" t="str">
        <f t="shared" si="0"/>
        <v>insert into BOO(Product_Family_ID, Manufacturing_Operation_ID, Operation_Order) values ('125', 5653, 5);</v>
      </c>
    </row>
    <row r="22" spans="3:3" x14ac:dyDescent="0.45">
      <c r="C22" t="str">
        <f t="shared" si="0"/>
        <v>insert into BOO(Product_Family_ID, Manufacturing_Operation_ID, Operation_Order) values ('125', 5659, 6);</v>
      </c>
    </row>
    <row r="23" spans="3:3" x14ac:dyDescent="0.45">
      <c r="C23" t="str">
        <f t="shared" si="0"/>
        <v>insert into BOO(Product_Family_ID, Manufacturing_Operation_ID, Operation_Order) values ('125', 5669, 7);</v>
      </c>
    </row>
    <row r="24" spans="3:3" x14ac:dyDescent="0.45">
      <c r="C24" t="str">
        <f t="shared" si="0"/>
        <v>insert into BOO(Product_Family_ID, Manufacturing_Operation_ID, Operation_Order) values ('125', 5655, 8);</v>
      </c>
    </row>
    <row r="25" spans="3:3" x14ac:dyDescent="0.45">
      <c r="C25" t="str">
        <f t="shared" si="0"/>
        <v>insert into BOO(Product_Family_ID, Manufacturing_Operation_ID, Operation_Order) values ('125', 5657, 9);</v>
      </c>
    </row>
    <row r="26" spans="3:3" x14ac:dyDescent="0.45">
      <c r="C26" t="str">
        <f t="shared" si="0"/>
        <v>insert into BOO(Product_Family_ID, Manufacturing_Operation_ID, Operation_Order) values ('125', 5661, 10);</v>
      </c>
    </row>
    <row r="27" spans="3:3" x14ac:dyDescent="0.45">
      <c r="C27" t="str">
        <f>_xlfn.CONCAT("insert into BOO(Product_Family_ID, Manufacturing_Operation_ID, Operation_Order) values ('",A12,"', ",B12,", ",C12,");")</f>
        <v>insert into BOO(Product_Family_ID, Manufacturing_Operation_ID, Operation_Order) values ('125', 5667, 11);</v>
      </c>
    </row>
    <row r="28" spans="3:3" x14ac:dyDescent="0.45">
      <c r="C28" t="str">
        <f t="shared" si="0"/>
        <v>insert into BOO(Product_Family_ID, Manufacturing_Operation_ID, Operation_Order) values ('125', 5663, 12);</v>
      </c>
    </row>
  </sheetData>
  <pageMargins left="0.7" right="0.7" top="0.75" bottom="0.75" header="0.3" footer="0.3"/>
  <pageSetup paperSize="9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Folhas de Cálculo</vt:lpstr>
      </vt:variant>
      <vt:variant>
        <vt:i4>9</vt:i4>
      </vt:variant>
    </vt:vector>
  </HeadingPairs>
  <TitlesOfParts>
    <vt:vector size="9" baseType="lpstr">
      <vt:lpstr>Clients</vt:lpstr>
      <vt:lpstr>Products</vt:lpstr>
      <vt:lpstr>ProductFamily</vt:lpstr>
      <vt:lpstr>Orders</vt:lpstr>
      <vt:lpstr>Operations</vt:lpstr>
      <vt:lpstr>WorkstationTypes</vt:lpstr>
      <vt:lpstr>Workstations</vt:lpstr>
      <vt:lpstr>BOM</vt:lpstr>
      <vt:lpstr>BOO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Angelo Martins</dc:creator>
  <cp:lastModifiedBy>Diogo Pereira</cp:lastModifiedBy>
  <dcterms:created xsi:type="dcterms:W3CDTF">2024-10-15T18:17:29Z</dcterms:created>
  <dcterms:modified xsi:type="dcterms:W3CDTF">2024-11-06T16:27:50Z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efa4170-0d19-0005-0004-bc88714345d2_Enabled">
    <vt:lpwstr>true</vt:lpwstr>
  </property>
  <property fmtid="{D5CDD505-2E9C-101B-9397-08002B2CF9AE}" pid="3" name="MSIP_Label_defa4170-0d19-0005-0004-bc88714345d2_SetDate">
    <vt:lpwstr>2024-11-06T16:24:50Z</vt:lpwstr>
  </property>
  <property fmtid="{D5CDD505-2E9C-101B-9397-08002B2CF9AE}" pid="4" name="MSIP_Label_defa4170-0d19-0005-0004-bc88714345d2_Method">
    <vt:lpwstr>Standard</vt:lpwstr>
  </property>
  <property fmtid="{D5CDD505-2E9C-101B-9397-08002B2CF9AE}" pid="5" name="MSIP_Label_defa4170-0d19-0005-0004-bc88714345d2_Name">
    <vt:lpwstr>defa4170-0d19-0005-0004-bc88714345d2</vt:lpwstr>
  </property>
  <property fmtid="{D5CDD505-2E9C-101B-9397-08002B2CF9AE}" pid="6" name="MSIP_Label_defa4170-0d19-0005-0004-bc88714345d2_SiteId">
    <vt:lpwstr>3cf4c707-3396-4fde-b2e6-61fdda39dcb9</vt:lpwstr>
  </property>
  <property fmtid="{D5CDD505-2E9C-101B-9397-08002B2CF9AE}" pid="7" name="MSIP_Label_defa4170-0d19-0005-0004-bc88714345d2_ActionId">
    <vt:lpwstr>fceef81d-b09a-4639-b556-2069c09abb75</vt:lpwstr>
  </property>
  <property fmtid="{D5CDD505-2E9C-101B-9397-08002B2CF9AE}" pid="8" name="MSIP_Label_defa4170-0d19-0005-0004-bc88714345d2_ContentBits">
    <vt:lpwstr>0</vt:lpwstr>
  </property>
</Properties>
</file>