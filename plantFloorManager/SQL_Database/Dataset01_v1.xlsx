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/>
  <mc:AlternateContent xmlns:mc="http://schemas.openxmlformats.org/markup-compatibility/2006">
    <mc:Choice Requires="x15">
      <x15ac:absPath xmlns:x15ac="http://schemas.microsoft.com/office/spreadsheetml/2010/11/ac" url="https://myisepipp-my.sharepoint.com/personal/1230462_isep_ipp_pt/Documents/Ficheiros de Conversa do Microsoft Teams/"/>
    </mc:Choice>
  </mc:AlternateContent>
  <xr:revisionPtr revIDLastSave="479" documentId="8_{61104BE5-191E-4C22-96ED-F0E59940F269}" xr6:coauthVersionLast="47" xr6:coauthVersionMax="47" xr10:uidLastSave="{A910A141-DBFA-4DD4-BA51-13DDDB32F304}"/>
  <bookViews>
    <workbookView xWindow="-4965" yWindow="8002" windowWidth="21795" windowHeight="12975" xr2:uid="{96054C54-0AC6-4E0E-AB4B-5CA509897BDA}"/>
  </bookViews>
  <sheets>
    <sheet name="Clients" sheetId="1" r:id="rId1"/>
    <sheet name="Products" sheetId="8" r:id="rId2"/>
    <sheet name="Orders" sheetId="2" r:id="rId3"/>
    <sheet name="Operations" sheetId="3" r:id="rId4"/>
    <sheet name="WorkstationTypes" sheetId="4" r:id="rId5"/>
    <sheet name="Workstations" sheetId="5" r:id="rId6"/>
    <sheet name="BOM" sheetId="6" r:id="rId7"/>
    <sheet name="BOO" sheetId="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  <c r="E13" i="8"/>
  <c r="E12" i="8"/>
  <c r="E11" i="8"/>
  <c r="E10" i="8"/>
  <c r="E9" i="8"/>
  <c r="E8" i="8"/>
  <c r="H2" i="1"/>
  <c r="H3" i="1"/>
  <c r="H4" i="1"/>
</calcChain>
</file>

<file path=xl/sharedStrings.xml><?xml version="1.0" encoding="utf-8"?>
<sst xmlns="http://schemas.openxmlformats.org/spreadsheetml/2006/main" count="260" uniqueCount="146">
  <si>
    <t>IDCliente</t>
  </si>
  <si>
    <t>Name</t>
  </si>
  <si>
    <t>VATIN</t>
  </si>
  <si>
    <t>Addess</t>
  </si>
  <si>
    <t>ZIP</t>
  </si>
  <si>
    <t>Town</t>
  </si>
  <si>
    <t>Carvalho &amp; Carvalho, Lda</t>
  </si>
  <si>
    <t>PT501245987</t>
  </si>
  <si>
    <t>Tv. Augusto Lessa 23</t>
  </si>
  <si>
    <t>4200-047</t>
  </si>
  <si>
    <t>Porto</t>
  </si>
  <si>
    <t>Tudo para a casa, Lda</t>
  </si>
  <si>
    <t>PT501245488</t>
  </si>
  <si>
    <t>R. Dr. Barros 93</t>
  </si>
  <si>
    <t>4465-219</t>
  </si>
  <si>
    <t>São Mamede de Infesta</t>
  </si>
  <si>
    <t>Sair de Cena</t>
  </si>
  <si>
    <t>PT501242417</t>
  </si>
  <si>
    <t>EDIFICIO CRISTAL lj18, R. António Correia de Carvalho 88</t>
  </si>
  <si>
    <t>4400-023</t>
  </si>
  <si>
    <t>Vila Nova de Gaia</t>
  </si>
  <si>
    <t>U Fleku</t>
  </si>
  <si>
    <t>CZ6451237810</t>
  </si>
  <si>
    <t>Křemencova 11</t>
  </si>
  <si>
    <t>110 00</t>
  </si>
  <si>
    <t>Nové Město</t>
  </si>
  <si>
    <t>Country</t>
  </si>
  <si>
    <t>Country_ID = https://pt.wikipedia.org/wiki/ISO_3166-1_num%C3%A9rico</t>
  </si>
  <si>
    <t>Portugal</t>
  </si>
  <si>
    <t>insert into Country (Country_ID, Country_Name) values (620, 'Portugal');</t>
  </si>
  <si>
    <t>insert into Country (Country_ID, Country_Name) values (203, 'Czechia');</t>
  </si>
  <si>
    <t>Czechia</t>
  </si>
  <si>
    <t>Code</t>
  </si>
  <si>
    <t>Description</t>
  </si>
  <si>
    <t>AS12945T22</t>
  </si>
  <si>
    <t>La Belle 22 5l pot</t>
  </si>
  <si>
    <t>5l 22 cm aluminium and teflon non stick pot</t>
  </si>
  <si>
    <t>AS12945S22</t>
  </si>
  <si>
    <t>Pro 22 5l pot</t>
  </si>
  <si>
    <t>5l 22 cm stainless steel pot</t>
  </si>
  <si>
    <t>AS12945S20</t>
  </si>
  <si>
    <t>Pro 20 3l pot</t>
  </si>
  <si>
    <t>3l 20 cm stainless steel pot</t>
  </si>
  <si>
    <t>AS12945S17</t>
  </si>
  <si>
    <t>Pro 17 2l sauce pan</t>
  </si>
  <si>
    <t>2l 17 cm stainless steel souce pan</t>
  </si>
  <si>
    <t>AS12945S48</t>
  </si>
  <si>
    <t>Pro 17 lid</t>
  </si>
  <si>
    <t>17 cm stainless steel lid</t>
  </si>
  <si>
    <t>AS12945G48</t>
  </si>
  <si>
    <t>Pro Clear 17 lid</t>
  </si>
  <si>
    <t>17 cm glass lid</t>
  </si>
  <si>
    <t>OID</t>
  </si>
  <si>
    <t>Client</t>
  </si>
  <si>
    <t>DateDelivery</t>
  </si>
  <si>
    <t>Product</t>
  </si>
  <si>
    <t>Quantity</t>
  </si>
  <si>
    <t>DateOrder</t>
  </si>
  <si>
    <t>OPID</t>
  </si>
  <si>
    <t>WorkstationType</t>
  </si>
  <si>
    <t>Disc cutting</t>
  </si>
  <si>
    <t>A4578</t>
  </si>
  <si>
    <t>A4588</t>
  </si>
  <si>
    <t>A4598</t>
  </si>
  <si>
    <t>Initial pot base pressing</t>
  </si>
  <si>
    <t>Final pot base pressing</t>
  </si>
  <si>
    <t>Pot base finishing</t>
  </si>
  <si>
    <t>C5637</t>
  </si>
  <si>
    <t>Lid pressing</t>
  </si>
  <si>
    <t>Lid finishing</t>
  </si>
  <si>
    <t>Pot handles riveting</t>
  </si>
  <si>
    <t>S3271</t>
  </si>
  <si>
    <t>Lid handle screw</t>
  </si>
  <si>
    <t>T3452</t>
  </si>
  <si>
    <t>Pot test and packaging</t>
  </si>
  <si>
    <t>K3675</t>
  </si>
  <si>
    <t>Handle welding</t>
  </si>
  <si>
    <t>D9123</t>
  </si>
  <si>
    <t>Lid polishing</t>
  </si>
  <si>
    <t>Q3547</t>
  </si>
  <si>
    <t>Pot base polishing</t>
  </si>
  <si>
    <t>Teflon painting</t>
  </si>
  <si>
    <t>Q5478</t>
  </si>
  <si>
    <t>WTID</t>
  </si>
  <si>
    <t>600t cold forging stamping press</t>
  </si>
  <si>
    <t>600t cold forging precision stamping press</t>
  </si>
  <si>
    <t>1000t cold forging precision stamping press</t>
  </si>
  <si>
    <t>Handle rivet</t>
  </si>
  <si>
    <t>Packaging</t>
  </si>
  <si>
    <t>K3676</t>
  </si>
  <si>
    <t>Packaging for large itens</t>
  </si>
  <si>
    <t>Border trimming</t>
  </si>
  <si>
    <t>Spot welding</t>
  </si>
  <si>
    <t>Teflon application station</t>
  </si>
  <si>
    <t>Stainless steel polishing</t>
  </si>
  <si>
    <t>Assembly T1</t>
  </si>
  <si>
    <t>G9273</t>
  </si>
  <si>
    <t>Circular glass cutting</t>
  </si>
  <si>
    <t>G9274</t>
  </si>
  <si>
    <t>Glass trimming</t>
  </si>
  <si>
    <t>WSID</t>
  </si>
  <si>
    <t>Press 01</t>
  </si>
  <si>
    <t>220-630t cold forging press</t>
  </si>
  <si>
    <t>Press 02</t>
  </si>
  <si>
    <t>220-630t precision cold forging press</t>
  </si>
  <si>
    <t>Press 03</t>
  </si>
  <si>
    <t>160-1000t precison cold forging press</t>
  </si>
  <si>
    <t>Press 04</t>
  </si>
  <si>
    <t>Rivet station</t>
  </si>
  <si>
    <t>Rivet 02</t>
  </si>
  <si>
    <t>Packaging station</t>
  </si>
  <si>
    <t>Rivet 03</t>
  </si>
  <si>
    <t>Packaging 01</t>
  </si>
  <si>
    <t>Spot welding staion</t>
  </si>
  <si>
    <t>Packaging 02</t>
  </si>
  <si>
    <t>Product assembly station</t>
  </si>
  <si>
    <t>Packaging 03</t>
  </si>
  <si>
    <t>Metal trimming station</t>
  </si>
  <si>
    <t>Packaging 04</t>
  </si>
  <si>
    <t>Metal polishing station</t>
  </si>
  <si>
    <t>Packaging 05</t>
  </si>
  <si>
    <t>Welding 01</t>
  </si>
  <si>
    <t>Welding 02</t>
  </si>
  <si>
    <t>Welding 03</t>
  </si>
  <si>
    <t>Assembly 01</t>
  </si>
  <si>
    <t>Assembly 02</t>
  </si>
  <si>
    <t>Assembly 03</t>
  </si>
  <si>
    <t>Trimming 01</t>
  </si>
  <si>
    <t>Polishing 01</t>
  </si>
  <si>
    <t>Polishing 02</t>
  </si>
  <si>
    <t>Polishing 03</t>
  </si>
  <si>
    <t>ProductID</t>
  </si>
  <si>
    <t>PartNumber</t>
  </si>
  <si>
    <t>PN12344A21</t>
  </si>
  <si>
    <t>Screw M6 35 mm</t>
  </si>
  <si>
    <t>PN52384R50</t>
  </si>
  <si>
    <t>300x300 mm 5mm stainless steel sheet</t>
  </si>
  <si>
    <t>PN52384R10</t>
  </si>
  <si>
    <t>300x300 mm 1mm stainless steel sheet</t>
  </si>
  <si>
    <t>PN18544A21</t>
  </si>
  <si>
    <t>Rivet 6 mm</t>
  </si>
  <si>
    <t>PN18544C21</t>
  </si>
  <si>
    <t>Stainless steel handle model U6</t>
  </si>
  <si>
    <t>PN18324C54</t>
  </si>
  <si>
    <t>Stainless steel handle model R12</t>
  </si>
  <si>
    <t>OPNumber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</si>
</sst>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2" fillId="0" borderId="0" xfId="0" applyFont="1"/>
    <xf numFmtId="1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2B8C6-F495-435D-B053-FB604FC6DD2C}">
  <dimension ref="A1:H13"/>
  <sheetViews>
    <sheetView tabSelected="1" zoomScale="70" zoomScaleNormal="70" workbookViewId="0">
      <selection activeCell="H1" sqref="H1"/>
    </sheetView>
  </sheetViews>
  <sheetFormatPr defaultRowHeight="15"/>
  <cols>
    <col min="2" max="2" width="22.85546875" bestFit="1" customWidth="1"/>
    <col min="3" max="3" width="13.85546875" customWidth="1"/>
    <col min="4" max="4" width="47" bestFit="1" customWidth="1"/>
    <col min="5" max="5" width="10.85546875" customWidth="1"/>
    <col min="6" max="6" width="19.7109375" bestFit="1" customWidth="1"/>
    <col min="7" max="7" width="11.28515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t="str">
        <f>_xlfn.CONCAT("insert into Customer(Customer_ID, Name, NIF, Address, typeID, Country_ID) values (",A2,", '",B2,"', '",C2,"', '",D2,", ",E2,", ",F2,"', 2, 620);")</f>
        <v>insert into Customer(Customer_ID, Name, NIF, Address, typeID, Country_ID) values (456, 'Carvalho &amp; Carvalho, Lda', 'PT501245987', 'Tv. Augusto Lessa 23, 4200-047, Porto', 2, 620);</v>
      </c>
    </row>
    <row r="2" spans="1:8">
      <c r="A2" s="1">
        <v>456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H2" t="str">
        <f t="shared" ref="H2:H4" si="0">_xlfn.CONCAT("insert into Customer(Customer_ID, Name, NIF, Adress) values (",A3,", '",B3,"', '",C3,"', '",D3,", ",E3,", ",F3,"')")</f>
        <v>insert into Customer(Customer_ID, Name, NIF, Adress) values (785, 'Tudo para a casa, Lda', 'PT501245488', 'R. Dr. Barros 93, 4465-219, São Mamede de Infesta')</v>
      </c>
    </row>
    <row r="3" spans="1:8">
      <c r="A3" s="1">
        <v>785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H3" t="str">
        <f t="shared" si="0"/>
        <v>insert into Customer(Customer_ID, Name, NIF, Adress) values (657, 'Sair de Cena', 'PT501242417', 'EDIFICIO CRISTAL lj18, R. António Correia de Carvalho 88, 4400-023, Vila Nova de Gaia')</v>
      </c>
    </row>
    <row r="4" spans="1:8">
      <c r="A4" s="1">
        <v>657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H4" t="str">
        <f t="shared" si="0"/>
        <v>insert into Customer(Customer_ID, Name, NIF, Adress) values (348, 'U Fleku', 'CZ6451237810', 'Křemencova 11, 110 00, Nové Město')</v>
      </c>
    </row>
    <row r="5" spans="1:8">
      <c r="A5" s="1">
        <v>348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</row>
    <row r="9" spans="1:8">
      <c r="A9" s="2" t="s">
        <v>26</v>
      </c>
      <c r="F9" s="3" t="s">
        <v>27</v>
      </c>
    </row>
    <row r="10" spans="1:8">
      <c r="A10" s="2" t="s">
        <v>28</v>
      </c>
      <c r="C10" t="s">
        <v>29</v>
      </c>
    </row>
    <row r="11" spans="1:8">
      <c r="A11" s="2" t="s">
        <v>28</v>
      </c>
      <c r="C11" t="s">
        <v>30</v>
      </c>
    </row>
    <row r="12" spans="1:8">
      <c r="A12" s="2" t="s">
        <v>28</v>
      </c>
    </row>
    <row r="13" spans="1:8">
      <c r="A13" s="2" t="s">
        <v>31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D9EF7-7F05-4929-9267-83A028A1D45D}">
  <dimension ref="A1:E13"/>
  <sheetViews>
    <sheetView workbookViewId="0">
      <selection activeCell="E8" sqref="E8:E13"/>
    </sheetView>
  </sheetViews>
  <sheetFormatPr defaultRowHeight="15"/>
  <cols>
    <col min="1" max="1" width="13.140625" customWidth="1"/>
    <col min="2" max="2" width="23.28515625" customWidth="1"/>
    <col min="3" max="3" width="35.85546875" bestFit="1" customWidth="1"/>
  </cols>
  <sheetData>
    <row r="1" spans="1:5">
      <c r="A1" s="1" t="s">
        <v>32</v>
      </c>
      <c r="B1" s="1" t="s">
        <v>1</v>
      </c>
      <c r="C1" s="1" t="s">
        <v>33</v>
      </c>
    </row>
    <row r="2" spans="1:5">
      <c r="A2" s="1" t="s">
        <v>34</v>
      </c>
      <c r="B2" s="1" t="s">
        <v>35</v>
      </c>
      <c r="C2" s="1" t="s">
        <v>36</v>
      </c>
    </row>
    <row r="3" spans="1:5">
      <c r="A3" s="1" t="s">
        <v>37</v>
      </c>
      <c r="B3" s="1" t="s">
        <v>38</v>
      </c>
      <c r="C3" s="1" t="s">
        <v>39</v>
      </c>
    </row>
    <row r="4" spans="1:5">
      <c r="A4" s="1" t="s">
        <v>40</v>
      </c>
      <c r="B4" s="1" t="s">
        <v>41</v>
      </c>
      <c r="C4" s="1" t="s">
        <v>42</v>
      </c>
    </row>
    <row r="5" spans="1:5">
      <c r="A5" s="1" t="s">
        <v>43</v>
      </c>
      <c r="B5" s="1" t="s">
        <v>44</v>
      </c>
      <c r="C5" s="1" t="s">
        <v>45</v>
      </c>
    </row>
    <row r="6" spans="1:5">
      <c r="A6" s="1" t="s">
        <v>46</v>
      </c>
      <c r="B6" s="1" t="s">
        <v>47</v>
      </c>
      <c r="C6" s="1" t="s">
        <v>48</v>
      </c>
    </row>
    <row r="7" spans="1:5">
      <c r="A7" s="1" t="s">
        <v>49</v>
      </c>
      <c r="B7" s="1" t="s">
        <v>50</v>
      </c>
      <c r="C7" s="1" t="s">
        <v>51</v>
      </c>
    </row>
    <row r="8" spans="1:5">
      <c r="E8" t="str">
        <f>_xlfn.CONCAT("insert into Product_Family (Family_ID, Family_Description) values (1, '",C2,"');")</f>
        <v>insert into Product_Family (Family_ID, Family_Description) values (1, '5l 22 cm aluminium and teflon non stick pot');</v>
      </c>
    </row>
    <row r="9" spans="1:5">
      <c r="E9" t="str">
        <f>_xlfn.CONCAT("insert into Product_Family (Family_ID, Family_Description) values (2, '",C3,"');")</f>
        <v>insert into Product_Family (Family_ID, Family_Description) values (2, '5l 22 cm stainless steel pot');</v>
      </c>
    </row>
    <row r="10" spans="1:5">
      <c r="E10" t="str">
        <f>_xlfn.CONCAT("insert into Product_Family (Family_ID, Family_Description) values (3, '",C4,"');")</f>
        <v>insert into Product_Family (Family_ID, Family_Description) values (3, '3l 20 cm stainless steel pot');</v>
      </c>
    </row>
    <row r="11" spans="1:5">
      <c r="E11" t="str">
        <f>_xlfn.CONCAT("insert into Product_Family (Family_ID, Family_Description) values (4, '",C5,"');")</f>
        <v>insert into Product_Family (Family_ID, Family_Description) values (4, '2l 17 cm stainless steel souce pan');</v>
      </c>
    </row>
    <row r="12" spans="1:5">
      <c r="E12" t="str">
        <f>_xlfn.CONCAT("insert into Product_Family (Family_ID, Family_Description) values (5, '",C6,"');")</f>
        <v>insert into Product_Family (Family_ID, Family_Description) values (5, '17 cm stainless steel lid');</v>
      </c>
    </row>
    <row r="13" spans="1:5">
      <c r="E13" t="str">
        <f>_xlfn.CONCAT("insert into Product_Family (Family_ID, Family_Description) values (6, '",C7,"');")</f>
        <v>insert into Product_Family (Family_ID, Family_Description) values (6, '17 cm glass lid');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70C24-4865-4CED-BECB-9AD0BD718C1F}">
  <dimension ref="A1:F19"/>
  <sheetViews>
    <sheetView workbookViewId="0">
      <selection activeCell="A12" sqref="A12"/>
    </sheetView>
  </sheetViews>
  <sheetFormatPr defaultRowHeight="15"/>
  <cols>
    <col min="3" max="3" width="10.85546875" bestFit="1" customWidth="1"/>
    <col min="5" max="5" width="18.85546875" customWidth="1"/>
    <col min="6" max="6" width="14.5703125" customWidth="1"/>
  </cols>
  <sheetData>
    <row r="1" spans="1:6">
      <c r="A1" s="2" t="s">
        <v>52</v>
      </c>
      <c r="B1" s="2" t="s">
        <v>53</v>
      </c>
      <c r="C1" s="2" t="s">
        <v>54</v>
      </c>
    </row>
    <row r="2" spans="1:6">
      <c r="A2" s="2">
        <v>1</v>
      </c>
      <c r="B2" s="2">
        <v>785</v>
      </c>
      <c r="C2" s="4">
        <v>45558</v>
      </c>
    </row>
    <row r="3" spans="1:6">
      <c r="A3" s="2">
        <v>2</v>
      </c>
      <c r="B3" s="2">
        <v>657</v>
      </c>
      <c r="C3" s="4">
        <v>45560</v>
      </c>
    </row>
    <row r="4" spans="1:6">
      <c r="A4" s="2">
        <v>3</v>
      </c>
      <c r="B4" s="2">
        <v>348</v>
      </c>
      <c r="C4" s="4">
        <v>45560</v>
      </c>
    </row>
    <row r="5" spans="1:6">
      <c r="A5" s="2">
        <v>4</v>
      </c>
      <c r="B5" s="2">
        <v>785</v>
      </c>
      <c r="C5" s="4">
        <v>45560</v>
      </c>
    </row>
    <row r="6" spans="1:6">
      <c r="A6" s="2">
        <v>5</v>
      </c>
      <c r="B6" s="2">
        <v>657</v>
      </c>
      <c r="C6" s="4">
        <v>45560</v>
      </c>
    </row>
    <row r="7" spans="1:6">
      <c r="A7" s="2">
        <v>6</v>
      </c>
      <c r="B7" s="2">
        <v>348</v>
      </c>
      <c r="C7" s="4">
        <v>45561</v>
      </c>
    </row>
    <row r="8" spans="1:6">
      <c r="A8" s="2">
        <v>7</v>
      </c>
      <c r="B8" s="2">
        <v>456</v>
      </c>
      <c r="C8" s="4">
        <v>45561</v>
      </c>
    </row>
    <row r="12" spans="1:6">
      <c r="A12" s="2" t="s">
        <v>55</v>
      </c>
      <c r="E12" s="2" t="s">
        <v>56</v>
      </c>
      <c r="F12" s="2" t="s">
        <v>57</v>
      </c>
    </row>
    <row r="13" spans="1:6">
      <c r="A13" s="2" t="s">
        <v>37</v>
      </c>
      <c r="E13" s="2">
        <v>5</v>
      </c>
      <c r="F13" s="4">
        <v>45550</v>
      </c>
    </row>
    <row r="14" spans="1:6">
      <c r="A14" s="2" t="s">
        <v>37</v>
      </c>
      <c r="E14" s="2">
        <v>10</v>
      </c>
      <c r="F14" s="4">
        <v>45550</v>
      </c>
    </row>
    <row r="15" spans="1:6">
      <c r="A15" s="2" t="s">
        <v>37</v>
      </c>
      <c r="E15" s="2">
        <v>10</v>
      </c>
      <c r="F15" s="4">
        <v>45550</v>
      </c>
    </row>
    <row r="16" spans="1:6">
      <c r="A16" s="2" t="s">
        <v>37</v>
      </c>
      <c r="E16" s="2">
        <v>4</v>
      </c>
      <c r="F16" s="4">
        <v>45553</v>
      </c>
    </row>
    <row r="17" spans="1:6">
      <c r="A17" s="2" t="s">
        <v>37</v>
      </c>
      <c r="E17" s="2">
        <v>12</v>
      </c>
      <c r="F17" s="4">
        <v>45553</v>
      </c>
    </row>
    <row r="18" spans="1:6">
      <c r="A18" s="2" t="s">
        <v>37</v>
      </c>
      <c r="E18" s="2">
        <v>8</v>
      </c>
      <c r="F18" s="4">
        <v>45553</v>
      </c>
    </row>
    <row r="19" spans="1:6">
      <c r="A19" s="2" t="s">
        <v>37</v>
      </c>
      <c r="E19" s="2">
        <v>7</v>
      </c>
      <c r="F19" s="4">
        <v>45556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F968F-3FE6-476E-97DD-6EBBFE3BD57E}">
  <dimension ref="A1:E14"/>
  <sheetViews>
    <sheetView workbookViewId="0">
      <selection activeCell="D14" sqref="D14"/>
    </sheetView>
  </sheetViews>
  <sheetFormatPr defaultRowHeight="15"/>
  <cols>
    <col min="1" max="1" width="10.5703125" customWidth="1"/>
    <col min="2" max="2" width="23" customWidth="1"/>
    <col min="3" max="5" width="14.42578125" bestFit="1" customWidth="1"/>
  </cols>
  <sheetData>
    <row r="1" spans="1:5">
      <c r="A1" s="1" t="s">
        <v>58</v>
      </c>
      <c r="B1" s="1" t="s">
        <v>33</v>
      </c>
      <c r="C1" t="s">
        <v>59</v>
      </c>
      <c r="D1" t="s">
        <v>59</v>
      </c>
      <c r="E1" t="s">
        <v>59</v>
      </c>
    </row>
    <row r="2" spans="1:5">
      <c r="A2" s="1">
        <v>5647</v>
      </c>
      <c r="B2" s="1" t="s">
        <v>60</v>
      </c>
      <c r="C2" t="s">
        <v>61</v>
      </c>
      <c r="D2" t="s">
        <v>62</v>
      </c>
      <c r="E2" t="s">
        <v>63</v>
      </c>
    </row>
    <row r="3" spans="1:5">
      <c r="A3" s="1">
        <v>5649</v>
      </c>
      <c r="B3" s="1" t="s">
        <v>64</v>
      </c>
      <c r="C3" t="s">
        <v>62</v>
      </c>
      <c r="D3" t="s">
        <v>63</v>
      </c>
    </row>
    <row r="4" spans="1:5">
      <c r="A4" s="1">
        <v>5651</v>
      </c>
      <c r="B4" s="1" t="s">
        <v>65</v>
      </c>
      <c r="C4" t="s">
        <v>62</v>
      </c>
      <c r="D4" t="s">
        <v>63</v>
      </c>
    </row>
    <row r="5" spans="1:5">
      <c r="A5" s="1">
        <v>5653</v>
      </c>
      <c r="B5" s="1" t="s">
        <v>66</v>
      </c>
      <c r="C5" t="s">
        <v>67</v>
      </c>
    </row>
    <row r="6" spans="1:5">
      <c r="A6" s="1">
        <v>5655</v>
      </c>
      <c r="B6" s="1" t="s">
        <v>68</v>
      </c>
      <c r="C6" t="s">
        <v>62</v>
      </c>
      <c r="D6" t="s">
        <v>63</v>
      </c>
    </row>
    <row r="7" spans="1:5">
      <c r="A7" s="1">
        <v>5657</v>
      </c>
      <c r="B7" s="1" t="s">
        <v>69</v>
      </c>
      <c r="C7" t="s">
        <v>67</v>
      </c>
    </row>
    <row r="8" spans="1:5">
      <c r="A8" s="1">
        <v>5659</v>
      </c>
      <c r="B8" s="1" t="s">
        <v>70</v>
      </c>
      <c r="C8" t="s">
        <v>71</v>
      </c>
    </row>
    <row r="9" spans="1:5">
      <c r="A9" s="1">
        <v>5661</v>
      </c>
      <c r="B9" s="1" t="s">
        <v>72</v>
      </c>
      <c r="C9" t="s">
        <v>73</v>
      </c>
    </row>
    <row r="10" spans="1:5">
      <c r="A10" s="1">
        <v>5663</v>
      </c>
      <c r="B10" s="1" t="s">
        <v>74</v>
      </c>
      <c r="C10" t="s">
        <v>75</v>
      </c>
    </row>
    <row r="11" spans="1:5">
      <c r="A11" s="1">
        <v>5665</v>
      </c>
      <c r="B11" s="1" t="s">
        <v>76</v>
      </c>
      <c r="C11" t="s">
        <v>77</v>
      </c>
    </row>
    <row r="12" spans="1:5">
      <c r="A12" s="1">
        <v>5667</v>
      </c>
      <c r="B12" s="1" t="s">
        <v>78</v>
      </c>
      <c r="C12" t="s">
        <v>79</v>
      </c>
    </row>
    <row r="13" spans="1:5">
      <c r="A13" s="1">
        <v>5669</v>
      </c>
      <c r="B13" s="1" t="s">
        <v>80</v>
      </c>
      <c r="C13" t="s">
        <v>79</v>
      </c>
    </row>
    <row r="14" spans="1:5">
      <c r="A14" s="1">
        <v>5671</v>
      </c>
      <c r="B14" s="1" t="s">
        <v>81</v>
      </c>
      <c r="C14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D0435-19DE-4DF5-9218-C7C340215B5E}">
  <dimension ref="A1:B14"/>
  <sheetViews>
    <sheetView workbookViewId="0">
      <selection activeCell="A11" sqref="A11"/>
    </sheetView>
  </sheetViews>
  <sheetFormatPr defaultRowHeight="15"/>
  <cols>
    <col min="1" max="1" width="14.5703125" customWidth="1"/>
    <col min="2" max="2" width="35.42578125" customWidth="1"/>
  </cols>
  <sheetData>
    <row r="1" spans="1:2">
      <c r="A1" s="1" t="s">
        <v>83</v>
      </c>
      <c r="B1" s="1" t="s">
        <v>1</v>
      </c>
    </row>
    <row r="2" spans="1:2">
      <c r="A2" s="1" t="s">
        <v>61</v>
      </c>
      <c r="B2" s="1" t="s">
        <v>84</v>
      </c>
    </row>
    <row r="3" spans="1:2">
      <c r="A3" s="1" t="s">
        <v>62</v>
      </c>
      <c r="B3" s="1" t="s">
        <v>85</v>
      </c>
    </row>
    <row r="4" spans="1:2">
      <c r="A4" s="1" t="s">
        <v>63</v>
      </c>
      <c r="B4" s="1" t="s">
        <v>86</v>
      </c>
    </row>
    <row r="5" spans="1:2">
      <c r="A5" s="1" t="s">
        <v>71</v>
      </c>
      <c r="B5" s="1" t="s">
        <v>87</v>
      </c>
    </row>
    <row r="6" spans="1:2">
      <c r="A6" s="1" t="s">
        <v>75</v>
      </c>
      <c r="B6" s="1" t="s">
        <v>88</v>
      </c>
    </row>
    <row r="7" spans="1:2">
      <c r="A7" s="1" t="s">
        <v>89</v>
      </c>
      <c r="B7" s="1" t="s">
        <v>90</v>
      </c>
    </row>
    <row r="8" spans="1:2">
      <c r="A8" s="1" t="s">
        <v>67</v>
      </c>
      <c r="B8" s="1" t="s">
        <v>91</v>
      </c>
    </row>
    <row r="9" spans="1:2">
      <c r="A9" s="1" t="s">
        <v>77</v>
      </c>
      <c r="B9" s="1" t="s">
        <v>92</v>
      </c>
    </row>
    <row r="10" spans="1:2">
      <c r="A10" s="1" t="s">
        <v>82</v>
      </c>
      <c r="B10" s="1" t="s">
        <v>93</v>
      </c>
    </row>
    <row r="11" spans="1:2">
      <c r="A11" s="1" t="s">
        <v>79</v>
      </c>
      <c r="B11" s="1" t="s">
        <v>94</v>
      </c>
    </row>
    <row r="12" spans="1:2">
      <c r="A12" s="1" t="s">
        <v>73</v>
      </c>
      <c r="B12" s="1" t="s">
        <v>95</v>
      </c>
    </row>
    <row r="13" spans="1:2">
      <c r="A13" s="1" t="s">
        <v>96</v>
      </c>
      <c r="B13" s="1" t="s">
        <v>97</v>
      </c>
    </row>
    <row r="14" spans="1:2">
      <c r="A14" s="1" t="s">
        <v>98</v>
      </c>
      <c r="B14" s="1" t="s">
        <v>99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8E112-BCDE-455B-843A-6C293EDE0CEE}">
  <dimension ref="A1:J22"/>
  <sheetViews>
    <sheetView workbookViewId="0">
      <selection activeCell="D3" sqref="D3"/>
    </sheetView>
  </sheetViews>
  <sheetFormatPr defaultRowHeight="15"/>
  <cols>
    <col min="3" max="3" width="14.140625" customWidth="1"/>
    <col min="4" max="4" width="30.42578125" bestFit="1" customWidth="1"/>
    <col min="10" max="10" width="32.7109375" customWidth="1"/>
    <col min="14" max="14" width="29.7109375" customWidth="1"/>
  </cols>
  <sheetData>
    <row r="1" spans="1:10">
      <c r="A1" t="s">
        <v>100</v>
      </c>
      <c r="B1" t="s">
        <v>83</v>
      </c>
      <c r="C1" t="s">
        <v>1</v>
      </c>
      <c r="D1" t="s">
        <v>33</v>
      </c>
      <c r="I1" t="s">
        <v>83</v>
      </c>
      <c r="J1" t="s">
        <v>33</v>
      </c>
    </row>
    <row r="2" spans="1:10">
      <c r="A2">
        <v>9875</v>
      </c>
      <c r="B2" t="s">
        <v>61</v>
      </c>
      <c r="C2" t="s">
        <v>101</v>
      </c>
      <c r="D2" t="s">
        <v>102</v>
      </c>
      <c r="I2" t="s">
        <v>61</v>
      </c>
      <c r="J2" t="s">
        <v>102</v>
      </c>
    </row>
    <row r="3" spans="1:10">
      <c r="A3">
        <v>9886</v>
      </c>
      <c r="B3" t="s">
        <v>61</v>
      </c>
      <c r="C3" t="s">
        <v>103</v>
      </c>
      <c r="D3" t="s">
        <v>102</v>
      </c>
      <c r="I3" t="s">
        <v>62</v>
      </c>
      <c r="J3" t="s">
        <v>104</v>
      </c>
    </row>
    <row r="4" spans="1:10">
      <c r="A4">
        <v>9847</v>
      </c>
      <c r="B4" t="s">
        <v>62</v>
      </c>
      <c r="C4" t="s">
        <v>105</v>
      </c>
      <c r="D4" t="s">
        <v>104</v>
      </c>
      <c r="I4" t="s">
        <v>62</v>
      </c>
      <c r="J4" t="s">
        <v>106</v>
      </c>
    </row>
    <row r="5" spans="1:10">
      <c r="A5">
        <v>9855</v>
      </c>
      <c r="B5" t="s">
        <v>62</v>
      </c>
      <c r="C5" t="s">
        <v>107</v>
      </c>
      <c r="D5" t="s">
        <v>106</v>
      </c>
      <c r="I5" t="s">
        <v>71</v>
      </c>
      <c r="J5" t="s">
        <v>108</v>
      </c>
    </row>
    <row r="6" spans="1:10">
      <c r="A6">
        <v>8541</v>
      </c>
      <c r="B6" t="s">
        <v>71</v>
      </c>
      <c r="C6" t="s">
        <v>109</v>
      </c>
      <c r="D6" t="s">
        <v>108</v>
      </c>
      <c r="I6" t="s">
        <v>75</v>
      </c>
      <c r="J6" t="s">
        <v>110</v>
      </c>
    </row>
    <row r="7" spans="1:10">
      <c r="A7">
        <v>8543</v>
      </c>
      <c r="B7" t="s">
        <v>71</v>
      </c>
      <c r="C7" t="s">
        <v>111</v>
      </c>
      <c r="D7" t="s">
        <v>108</v>
      </c>
      <c r="I7" t="s">
        <v>89</v>
      </c>
      <c r="J7" t="s">
        <v>110</v>
      </c>
    </row>
    <row r="8" spans="1:10">
      <c r="A8">
        <v>6814</v>
      </c>
      <c r="B8" t="s">
        <v>75</v>
      </c>
      <c r="C8" t="s">
        <v>112</v>
      </c>
      <c r="D8" t="s">
        <v>110</v>
      </c>
      <c r="I8" t="s">
        <v>77</v>
      </c>
      <c r="J8" t="s">
        <v>113</v>
      </c>
    </row>
    <row r="9" spans="1:10">
      <c r="A9">
        <v>6815</v>
      </c>
      <c r="B9" t="s">
        <v>75</v>
      </c>
      <c r="C9" t="s">
        <v>114</v>
      </c>
      <c r="D9" t="s">
        <v>110</v>
      </c>
      <c r="I9" t="s">
        <v>73</v>
      </c>
      <c r="J9" t="s">
        <v>115</v>
      </c>
    </row>
    <row r="10" spans="1:10">
      <c r="A10">
        <v>6816</v>
      </c>
      <c r="B10" t="s">
        <v>75</v>
      </c>
      <c r="C10" t="s">
        <v>116</v>
      </c>
      <c r="D10" t="s">
        <v>110</v>
      </c>
      <c r="I10" t="s">
        <v>67</v>
      </c>
      <c r="J10" t="s">
        <v>117</v>
      </c>
    </row>
    <row r="11" spans="1:10">
      <c r="A11">
        <v>6821</v>
      </c>
      <c r="B11" t="s">
        <v>75</v>
      </c>
      <c r="C11" t="s">
        <v>118</v>
      </c>
      <c r="D11" t="s">
        <v>110</v>
      </c>
      <c r="I11" t="s">
        <v>79</v>
      </c>
      <c r="J11" t="s">
        <v>119</v>
      </c>
    </row>
    <row r="12" spans="1:10">
      <c r="A12">
        <v>6822</v>
      </c>
      <c r="B12" t="s">
        <v>89</v>
      </c>
      <c r="C12" t="s">
        <v>120</v>
      </c>
      <c r="D12" t="s">
        <v>110</v>
      </c>
    </row>
    <row r="13" spans="1:10">
      <c r="A13">
        <v>8167</v>
      </c>
      <c r="B13" t="s">
        <v>77</v>
      </c>
      <c r="C13" t="s">
        <v>121</v>
      </c>
      <c r="D13" t="s">
        <v>113</v>
      </c>
    </row>
    <row r="14" spans="1:10">
      <c r="A14">
        <v>8170</v>
      </c>
      <c r="B14" t="s">
        <v>77</v>
      </c>
      <c r="C14" t="s">
        <v>122</v>
      </c>
      <c r="D14" t="s">
        <v>113</v>
      </c>
    </row>
    <row r="15" spans="1:10">
      <c r="A15">
        <v>8171</v>
      </c>
      <c r="B15" t="s">
        <v>77</v>
      </c>
      <c r="C15" t="s">
        <v>123</v>
      </c>
      <c r="D15" t="s">
        <v>113</v>
      </c>
    </row>
    <row r="16" spans="1:10">
      <c r="A16">
        <v>7235</v>
      </c>
      <c r="B16" t="s">
        <v>73</v>
      </c>
      <c r="C16" t="s">
        <v>124</v>
      </c>
      <c r="D16" t="s">
        <v>115</v>
      </c>
    </row>
    <row r="17" spans="1:4">
      <c r="A17">
        <v>7236</v>
      </c>
      <c r="B17" t="s">
        <v>73</v>
      </c>
      <c r="C17" t="s">
        <v>125</v>
      </c>
      <c r="D17" t="s">
        <v>115</v>
      </c>
    </row>
    <row r="18" spans="1:4">
      <c r="A18">
        <v>7238</v>
      </c>
      <c r="B18" t="s">
        <v>73</v>
      </c>
      <c r="C18" t="s">
        <v>126</v>
      </c>
      <c r="D18" t="s">
        <v>115</v>
      </c>
    </row>
    <row r="19" spans="1:4">
      <c r="A19">
        <v>5124</v>
      </c>
      <c r="B19" t="s">
        <v>67</v>
      </c>
      <c r="C19" t="s">
        <v>127</v>
      </c>
      <c r="D19" t="s">
        <v>117</v>
      </c>
    </row>
    <row r="20" spans="1:4">
      <c r="A20">
        <v>4123</v>
      </c>
      <c r="B20" t="s">
        <v>79</v>
      </c>
      <c r="C20" t="s">
        <v>128</v>
      </c>
      <c r="D20" t="s">
        <v>119</v>
      </c>
    </row>
    <row r="21" spans="1:4">
      <c r="A21">
        <v>4124</v>
      </c>
      <c r="B21" t="s">
        <v>79</v>
      </c>
      <c r="C21" t="s">
        <v>129</v>
      </c>
      <c r="D21" t="s">
        <v>119</v>
      </c>
    </row>
    <row r="22" spans="1:4">
      <c r="A22">
        <v>4125</v>
      </c>
      <c r="B22" t="s">
        <v>79</v>
      </c>
      <c r="C22" t="s">
        <v>130</v>
      </c>
      <c r="D22" t="s">
        <v>119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3FD3A-319E-497B-BBC6-9FC6F2F78F3D}">
  <dimension ref="A1:D7"/>
  <sheetViews>
    <sheetView workbookViewId="0">
      <selection activeCell="D18" sqref="D18"/>
    </sheetView>
  </sheetViews>
  <sheetFormatPr defaultRowHeight="15"/>
  <cols>
    <col min="1" max="1" width="14.140625" customWidth="1"/>
    <col min="2" max="2" width="17.85546875" customWidth="1"/>
    <col min="3" max="3" width="32.85546875" bestFit="1" customWidth="1"/>
  </cols>
  <sheetData>
    <row r="1" spans="1:4">
      <c r="A1" t="s">
        <v>131</v>
      </c>
      <c r="B1" s="1" t="s">
        <v>132</v>
      </c>
      <c r="C1" s="1" t="s">
        <v>33</v>
      </c>
      <c r="D1" s="1" t="s">
        <v>56</v>
      </c>
    </row>
    <row r="2" spans="1:4">
      <c r="A2" t="s">
        <v>37</v>
      </c>
      <c r="B2" s="1" t="s">
        <v>133</v>
      </c>
      <c r="C2" s="1" t="s">
        <v>134</v>
      </c>
      <c r="D2" s="1">
        <v>1</v>
      </c>
    </row>
    <row r="3" spans="1:4">
      <c r="A3" t="s">
        <v>37</v>
      </c>
      <c r="B3" s="1" t="s">
        <v>135</v>
      </c>
      <c r="C3" s="1" t="s">
        <v>136</v>
      </c>
      <c r="D3" s="1">
        <v>1</v>
      </c>
    </row>
    <row r="4" spans="1:4">
      <c r="A4" t="s">
        <v>37</v>
      </c>
      <c r="B4" s="1" t="s">
        <v>137</v>
      </c>
      <c r="C4" s="1" t="s">
        <v>138</v>
      </c>
      <c r="D4" s="1">
        <v>1</v>
      </c>
    </row>
    <row r="5" spans="1:4">
      <c r="A5" t="s">
        <v>37</v>
      </c>
      <c r="B5" s="1" t="s">
        <v>139</v>
      </c>
      <c r="C5" s="1" t="s">
        <v>140</v>
      </c>
      <c r="D5" s="1">
        <v>4</v>
      </c>
    </row>
    <row r="6" spans="1:4">
      <c r="A6" t="s">
        <v>37</v>
      </c>
      <c r="B6" s="1" t="s">
        <v>141</v>
      </c>
      <c r="C6" s="1" t="s">
        <v>142</v>
      </c>
      <c r="D6" s="1">
        <v>2</v>
      </c>
    </row>
    <row r="7" spans="1:4">
      <c r="A7" t="s">
        <v>37</v>
      </c>
      <c r="B7" s="1" t="s">
        <v>143</v>
      </c>
      <c r="C7" s="1" t="s">
        <v>144</v>
      </c>
      <c r="D7" s="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B436D-7E6F-45CD-A274-6E2AE1A9129E}">
  <dimension ref="A1:I13"/>
  <sheetViews>
    <sheetView workbookViewId="0">
      <selection activeCell="B13" sqref="B13"/>
    </sheetView>
  </sheetViews>
  <sheetFormatPr defaultRowHeight="15"/>
  <cols>
    <col min="1" max="1" width="13.7109375" customWidth="1"/>
    <col min="2" max="2" width="10.85546875" customWidth="1"/>
    <col min="3" max="3" width="9.85546875" bestFit="1" customWidth="1"/>
  </cols>
  <sheetData>
    <row r="1" spans="1:9">
      <c r="A1" t="s">
        <v>131</v>
      </c>
      <c r="B1" t="s">
        <v>58</v>
      </c>
      <c r="C1" t="s">
        <v>145</v>
      </c>
      <c r="H1" t="s">
        <v>145</v>
      </c>
      <c r="I1" t="s">
        <v>58</v>
      </c>
    </row>
    <row r="2" spans="1:9">
      <c r="A2" t="s">
        <v>37</v>
      </c>
      <c r="B2">
        <v>5647</v>
      </c>
      <c r="C2">
        <v>1</v>
      </c>
      <c r="H2">
        <v>1</v>
      </c>
      <c r="I2">
        <v>5647</v>
      </c>
    </row>
    <row r="3" spans="1:9">
      <c r="A3" t="s">
        <v>37</v>
      </c>
      <c r="B3">
        <v>5647</v>
      </c>
      <c r="C3">
        <v>2</v>
      </c>
      <c r="H3">
        <v>2</v>
      </c>
      <c r="I3">
        <v>5647</v>
      </c>
    </row>
    <row r="4" spans="1:9">
      <c r="A4" t="s">
        <v>37</v>
      </c>
      <c r="B4">
        <v>5649</v>
      </c>
      <c r="C4">
        <v>3</v>
      </c>
      <c r="H4">
        <v>3</v>
      </c>
      <c r="I4">
        <v>5649</v>
      </c>
    </row>
    <row r="5" spans="1:9">
      <c r="A5" t="s">
        <v>37</v>
      </c>
      <c r="B5">
        <v>5651</v>
      </c>
      <c r="C5">
        <v>4</v>
      </c>
      <c r="H5">
        <v>4</v>
      </c>
      <c r="I5">
        <v>5651</v>
      </c>
    </row>
    <row r="6" spans="1:9">
      <c r="A6" t="s">
        <v>37</v>
      </c>
      <c r="B6">
        <v>5653</v>
      </c>
      <c r="C6">
        <v>5</v>
      </c>
      <c r="H6">
        <v>5</v>
      </c>
      <c r="I6">
        <v>5653</v>
      </c>
    </row>
    <row r="7" spans="1:9">
      <c r="A7" t="s">
        <v>37</v>
      </c>
      <c r="B7">
        <v>5659</v>
      </c>
      <c r="C7">
        <v>6</v>
      </c>
      <c r="H7">
        <v>6</v>
      </c>
      <c r="I7">
        <v>5659</v>
      </c>
    </row>
    <row r="8" spans="1:9">
      <c r="A8" t="s">
        <v>37</v>
      </c>
      <c r="B8">
        <v>5669</v>
      </c>
      <c r="C8">
        <v>7</v>
      </c>
      <c r="H8">
        <v>7</v>
      </c>
      <c r="I8">
        <v>5669</v>
      </c>
    </row>
    <row r="9" spans="1:9">
      <c r="A9" t="s">
        <v>37</v>
      </c>
      <c r="B9">
        <v>5655</v>
      </c>
      <c r="C9">
        <v>8</v>
      </c>
      <c r="H9">
        <v>8</v>
      </c>
      <c r="I9">
        <v>5655</v>
      </c>
    </row>
    <row r="10" spans="1:9">
      <c r="A10" t="s">
        <v>37</v>
      </c>
      <c r="B10">
        <v>5657</v>
      </c>
      <c r="C10">
        <v>9</v>
      </c>
      <c r="H10">
        <v>9</v>
      </c>
      <c r="I10">
        <v>5657</v>
      </c>
    </row>
    <row r="11" spans="1:9">
      <c r="A11" t="s">
        <v>37</v>
      </c>
      <c r="B11">
        <v>5661</v>
      </c>
      <c r="C11">
        <v>10</v>
      </c>
      <c r="H11">
        <v>10</v>
      </c>
      <c r="I11">
        <v>5661</v>
      </c>
    </row>
    <row r="12" spans="1:9">
      <c r="A12" t="s">
        <v>37</v>
      </c>
      <c r="B12">
        <v>5667</v>
      </c>
      <c r="C12">
        <v>11</v>
      </c>
      <c r="H12">
        <v>11</v>
      </c>
      <c r="I12">
        <v>5667</v>
      </c>
    </row>
    <row r="13" spans="1:9">
      <c r="A13" t="s">
        <v>37</v>
      </c>
      <c r="B13">
        <v>5663</v>
      </c>
      <c r="C13">
        <v>12</v>
      </c>
      <c r="H13">
        <v>12</v>
      </c>
      <c r="I13">
        <v>5663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Angelo Martins</dc:creator>
  <cp:keywords/>
  <dc:description/>
  <cp:lastModifiedBy>Tiago João Conceição Sampaio</cp:lastModifiedBy>
  <cp:revision/>
  <dcterms:created xsi:type="dcterms:W3CDTF">2024-10-15T18:17:29Z</dcterms:created>
  <dcterms:modified xsi:type="dcterms:W3CDTF">2024-10-20T22:32:58Z</dcterms:modified>
  <cp:category/>
  <cp:contentStatus/>
</cp:coreProperties>
</file>