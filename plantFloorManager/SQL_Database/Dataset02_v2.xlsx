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cms6-my.sharepoint.com/personal/diogopereira_0cms6_onmicrosoft_com/Documents/Faculdade/Código 2º Ano/sem3-pi-2024-g094/plantFloorManager/SQL_Database/"/>
    </mc:Choice>
  </mc:AlternateContent>
  <xr:revisionPtr revIDLastSave="629" documentId="8_{61104BE5-191E-4C22-96ED-F0E59940F269}" xr6:coauthVersionLast="47" xr6:coauthVersionMax="47" xr10:uidLastSave="{AA2C3FEA-9700-4405-91DF-9A9D6EEA0195}"/>
  <bookViews>
    <workbookView xWindow="-98" yWindow="-98" windowWidth="21795" windowHeight="12975" firstSheet="1" activeTab="1" xr2:uid="{96054C54-0AC6-4E0E-AB4B-5CA509897BDA}"/>
  </bookViews>
  <sheets>
    <sheet name="Clients" sheetId="1" r:id="rId1"/>
    <sheet name="Products" sheetId="8" r:id="rId2"/>
    <sheet name="ProductFamily" sheetId="9" r:id="rId3"/>
    <sheet name="Orders" sheetId="2" r:id="rId4"/>
    <sheet name="Operations" sheetId="3" r:id="rId5"/>
    <sheet name="WorkstationTypes" sheetId="4" r:id="rId6"/>
    <sheet name="Workstations" sheetId="5" r:id="rId7"/>
    <sheet name="BOM" sheetId="6" r:id="rId8"/>
    <sheet name="BOO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" l="1"/>
  <c r="B23" i="8"/>
  <c r="B24" i="8"/>
  <c r="B25" i="8"/>
  <c r="B26" i="8"/>
  <c r="B27" i="8"/>
  <c r="B28" i="8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2" i="4"/>
  <c r="H2" i="2"/>
  <c r="B19" i="8"/>
  <c r="B18" i="8"/>
  <c r="B17" i="8"/>
  <c r="B16" i="8"/>
  <c r="B15" i="8"/>
  <c r="B14" i="8"/>
  <c r="B13" i="8"/>
  <c r="B15" i="9"/>
  <c r="B14" i="9"/>
  <c r="B13" i="9"/>
  <c r="B12" i="9"/>
  <c r="B11" i="9"/>
  <c r="B12" i="1"/>
  <c r="B10" i="1"/>
  <c r="B11" i="1"/>
  <c r="B9" i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2" i="7"/>
  <c r="B64" i="6"/>
  <c r="B65" i="6"/>
  <c r="B66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47" i="6"/>
  <c r="B41" i="6"/>
  <c r="B42" i="6"/>
  <c r="B43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24" i="6"/>
  <c r="G1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9" i="3"/>
  <c r="G2" i="3"/>
  <c r="H3" i="2"/>
  <c r="H4" i="2"/>
  <c r="H5" i="2"/>
  <c r="H6" i="2"/>
  <c r="H7" i="2"/>
  <c r="H8" i="2"/>
  <c r="H9" i="2"/>
  <c r="H10" i="2"/>
  <c r="H11" i="2"/>
  <c r="H12" i="2"/>
  <c r="H13" i="2"/>
  <c r="H14" i="2"/>
  <c r="D26" i="2"/>
  <c r="D29" i="2"/>
  <c r="D19" i="2"/>
  <c r="D21" i="2"/>
  <c r="D23" i="2"/>
  <c r="D27" i="2"/>
  <c r="D17" i="2"/>
</calcChain>
</file>

<file path=xl/sharedStrings.xml><?xml version="1.0" encoding="utf-8"?>
<sst xmlns="http://schemas.openxmlformats.org/spreadsheetml/2006/main" count="326" uniqueCount="198">
  <si>
    <t>Name</t>
  </si>
  <si>
    <t>Addess</t>
  </si>
  <si>
    <t>ZIP</t>
  </si>
  <si>
    <t>VATIN</t>
  </si>
  <si>
    <t>PT501245987</t>
  </si>
  <si>
    <t>Carvalho &amp; Carvalho, Lda</t>
  </si>
  <si>
    <t>Tudo para a casa, Lda</t>
  </si>
  <si>
    <t>PT501245488</t>
  </si>
  <si>
    <t>PT501242417</t>
  </si>
  <si>
    <t>U Fleku</t>
  </si>
  <si>
    <t>CZ6451237810</t>
  </si>
  <si>
    <t>Křemencova 11</t>
  </si>
  <si>
    <t>110 00</t>
  </si>
  <si>
    <t>Nové Město</t>
  </si>
  <si>
    <t>Czechia</t>
  </si>
  <si>
    <t>Town</t>
  </si>
  <si>
    <t>Country</t>
  </si>
  <si>
    <t>Portugal</t>
  </si>
  <si>
    <t>Code</t>
  </si>
  <si>
    <t>Description</t>
  </si>
  <si>
    <t>La Belle 22 5l pot</t>
  </si>
  <si>
    <t>5l 22 cm aluminium and teflon non stick pot</t>
  </si>
  <si>
    <t>Pro 22 5l pot</t>
  </si>
  <si>
    <t>AS12945S22</t>
  </si>
  <si>
    <t>5l 22 cm stainless steel pot</t>
  </si>
  <si>
    <t>AS12945S20</t>
  </si>
  <si>
    <t>Pro 20 3l pot</t>
  </si>
  <si>
    <t>3l 20 cm stainless steel pot</t>
  </si>
  <si>
    <t>AS12945S17</t>
  </si>
  <si>
    <t>Pro 17 2l sauce pan</t>
  </si>
  <si>
    <t>AS12945T22</t>
  </si>
  <si>
    <t>OPID</t>
  </si>
  <si>
    <t>600t cold forging stamping press</t>
  </si>
  <si>
    <t>A4578</t>
  </si>
  <si>
    <t>WSID</t>
  </si>
  <si>
    <t>WTID</t>
  </si>
  <si>
    <t>Press 01</t>
  </si>
  <si>
    <t>220-630t precision cold forging press</t>
  </si>
  <si>
    <t>Press 02</t>
  </si>
  <si>
    <t>Press 03</t>
  </si>
  <si>
    <t>A4588</t>
  </si>
  <si>
    <t>600t cold forging precision stamping press</t>
  </si>
  <si>
    <t>A4598</t>
  </si>
  <si>
    <t>1000t cold forging precision stamping press</t>
  </si>
  <si>
    <t>Press 04</t>
  </si>
  <si>
    <t>160-1000t precison cold forging press</t>
  </si>
  <si>
    <t>220-630t cold forging press</t>
  </si>
  <si>
    <t>Rivet station</t>
  </si>
  <si>
    <t>S3271</t>
  </si>
  <si>
    <t>Disc cutting</t>
  </si>
  <si>
    <t>Initial pot base pressing</t>
  </si>
  <si>
    <t>Final pot base pressing</t>
  </si>
  <si>
    <t>Lid pressing</t>
  </si>
  <si>
    <t>Lid finishing</t>
  </si>
  <si>
    <t>Pot base finishing</t>
  </si>
  <si>
    <t>Pot handles riveting</t>
  </si>
  <si>
    <t>Pot test and packaging</t>
  </si>
  <si>
    <t>Handle rivet</t>
  </si>
  <si>
    <t>Packaging</t>
  </si>
  <si>
    <t>Border trimming</t>
  </si>
  <si>
    <t>K3675</t>
  </si>
  <si>
    <t>C5637</t>
  </si>
  <si>
    <t>Spot welding</t>
  </si>
  <si>
    <t>D9123</t>
  </si>
  <si>
    <t>Handle welding</t>
  </si>
  <si>
    <t>Lid polishing</t>
  </si>
  <si>
    <t>Pot base polishing</t>
  </si>
  <si>
    <t>Teflon painting</t>
  </si>
  <si>
    <t>Teflon application station</t>
  </si>
  <si>
    <t>Stainless steel polishing</t>
  </si>
  <si>
    <t>Q5478</t>
  </si>
  <si>
    <t>Q3547</t>
  </si>
  <si>
    <t>ProductID</t>
  </si>
  <si>
    <t>OPNumber</t>
  </si>
  <si>
    <t>Rivet 02</t>
  </si>
  <si>
    <t>Rivet 03</t>
  </si>
  <si>
    <t>PartNumber</t>
  </si>
  <si>
    <t>AS12945S48</t>
  </si>
  <si>
    <t>Pro 17 lid</t>
  </si>
  <si>
    <t>2l 17 cm stainless steel souce pan</t>
  </si>
  <si>
    <t>17 cm stainless steel lid</t>
  </si>
  <si>
    <t>17 cm glass lid</t>
  </si>
  <si>
    <t>Pro Clear 17 lid</t>
  </si>
  <si>
    <t>AS12945G48</t>
  </si>
  <si>
    <t>Assembly T1</t>
  </si>
  <si>
    <t>T3452</t>
  </si>
  <si>
    <t>Lid handle screw</t>
  </si>
  <si>
    <t>PN12344A21</t>
  </si>
  <si>
    <t>Screw M6 35 mm</t>
  </si>
  <si>
    <t>Quantity</t>
  </si>
  <si>
    <t>300x300 mm 5mm stainless steel sheet</t>
  </si>
  <si>
    <t>300x300 mm 1mm stainless steel sheet</t>
  </si>
  <si>
    <t>PN18544A21</t>
  </si>
  <si>
    <t>Rivet 6 mm</t>
  </si>
  <si>
    <t>PN52384R50</t>
  </si>
  <si>
    <t>PN52384R10</t>
  </si>
  <si>
    <t>PN18544C21</t>
  </si>
  <si>
    <t>PN18324C54</t>
  </si>
  <si>
    <t>Stainless steel handle model R12</t>
  </si>
  <si>
    <t>Stainless steel handle model U6</t>
  </si>
  <si>
    <t>Packaging 01</t>
  </si>
  <si>
    <t>Packaging 02</t>
  </si>
  <si>
    <t>Packaging 03</t>
  </si>
  <si>
    <t>Packaging 04</t>
  </si>
  <si>
    <t>Packaging 05</t>
  </si>
  <si>
    <t>Packaging station</t>
  </si>
  <si>
    <t>K3676</t>
  </si>
  <si>
    <t>Packaging for large itens</t>
  </si>
  <si>
    <t>Welding 01</t>
  </si>
  <si>
    <t>Welding 02</t>
  </si>
  <si>
    <t>Welding 03</t>
  </si>
  <si>
    <t>Spot welding staion</t>
  </si>
  <si>
    <t>G9273</t>
  </si>
  <si>
    <t>Circular glass cutting</t>
  </si>
  <si>
    <t>G9274</t>
  </si>
  <si>
    <t>Glass trimming</t>
  </si>
  <si>
    <t>Assembly 01</t>
  </si>
  <si>
    <t>Assembly 02</t>
  </si>
  <si>
    <t>Assembly 03</t>
  </si>
  <si>
    <t>Product assembly station</t>
  </si>
  <si>
    <t>Trimming 01</t>
  </si>
  <si>
    <t>Metal trimming station</t>
  </si>
  <si>
    <t>Polishing 01</t>
  </si>
  <si>
    <t>Polishing 02</t>
  </si>
  <si>
    <t>Polishing 03</t>
  </si>
  <si>
    <t>Metal polishing station</t>
  </si>
  <si>
    <t>OID</t>
  </si>
  <si>
    <t>Product</t>
  </si>
  <si>
    <t>DateOrder</t>
  </si>
  <si>
    <t>DateDelivery</t>
  </si>
  <si>
    <t>Client</t>
  </si>
  <si>
    <t>Tv. Augusto Lessa 23</t>
  </si>
  <si>
    <t>4200-047</t>
  </si>
  <si>
    <t>Porto</t>
  </si>
  <si>
    <t>R. Dr. Barros 93</t>
  </si>
  <si>
    <t>4465-219</t>
  </si>
  <si>
    <t>São Mamede de Infesta</t>
  </si>
  <si>
    <t>Vila Nova de Gaia</t>
  </si>
  <si>
    <t>4400-023</t>
  </si>
  <si>
    <t>Sair de Cena</t>
  </si>
  <si>
    <t>EDIFICIO CRISTAL lj18, R. António Correia de Carvalho 88</t>
  </si>
  <si>
    <t>WorkstationType</t>
  </si>
  <si>
    <t>Stainless steel handle model R11</t>
  </si>
  <si>
    <t>PN18324C51</t>
  </si>
  <si>
    <t>PFID</t>
  </si>
  <si>
    <t>Family</t>
  </si>
  <si>
    <t>Pro Line pots</t>
  </si>
  <si>
    <t>La Belle pots</t>
  </si>
  <si>
    <t>Pro Line pans</t>
  </si>
  <si>
    <t>Pro Line lids</t>
  </si>
  <si>
    <t>Pro Clear lids</t>
  </si>
  <si>
    <t>Phone</t>
  </si>
  <si>
    <t>idont@care.com</t>
  </si>
  <si>
    <t>003518340500</t>
  </si>
  <si>
    <t>004201234567</t>
  </si>
  <si>
    <t>FamilyID</t>
  </si>
  <si>
    <t>Pro 17 2l pot</t>
  </si>
  <si>
    <t>2l 17 cm stainless steel pot</t>
  </si>
  <si>
    <t>AS12945P17</t>
  </si>
  <si>
    <t>PN52384R45</t>
  </si>
  <si>
    <t>PN52384R12</t>
  </si>
  <si>
    <t>250x250 mm 1mm stainless steel sheet</t>
  </si>
  <si>
    <t>250x250 mm 5mm stainless steel sheet</t>
  </si>
  <si>
    <t>me@neither.com</t>
  </si>
  <si>
    <t>some@email.com</t>
  </si>
  <si>
    <t>some.random@email.cz</t>
  </si>
  <si>
    <t>IDClient</t>
  </si>
  <si>
    <t>Email</t>
  </si>
  <si>
    <t>Initial pan base pressing</t>
  </si>
  <si>
    <t>Final pan base pressing</t>
  </si>
  <si>
    <t>Pan base finishing</t>
  </si>
  <si>
    <t>Pan test and packaging</t>
  </si>
  <si>
    <t>PN18324C91</t>
  </si>
  <si>
    <t>Stainless steel handle model S26</t>
  </si>
  <si>
    <t>insert into Type_Industry(Type_Industry_ID, Type_Industry, Manufacturing_Operation_ID, Workstation_Type_ID) values (1001, 'Metal or Ceramics Industry', 5647 , 'A4578');</t>
  </si>
  <si>
    <t>insert into Type_Industry(Type_Industry_ID, Type_Industry, Manufacturing_Operation_ID, Workstation_Type_ID) values (1002, 'Metal or Ceramics Industry', 5647 , 'A4588');</t>
  </si>
  <si>
    <t>insert into Type_Industry(Type_Industry_ID, Type_Industry, Manufacturing_Operation_ID, Workstation_Type_ID) values (1003, 'Metal or Ceramics Industry', 5647 , 'A4598');</t>
  </si>
  <si>
    <t>insert into Type_Industry(Type_Industry_ID, Type_Industry, Manufacturing_Operation_ID, Workstation_Type_ID) values (1004, 'Ceramics Industry', 5649 , 'A4588');</t>
  </si>
  <si>
    <t>insert into Type_Industry(Type_Industry_ID, Type_Industry, Manufacturing_Operation_ID, Workstation_Type_ID) values (1005, 'Ceramics Industry', 5649 , 'A4598');</t>
  </si>
  <si>
    <t>insert into Type_Industry(Type_Industry_ID, Type_Industry, Manufacturing_Operation_ID, Workstation_Type_ID) values (1006, 'Ceramics Industry', 5651 , 'A4588');</t>
  </si>
  <si>
    <t>insert into Type_Industry(Type_Industry_ID, Type_Industry, Manufacturing_Operation_ID, Workstation_Type_ID) values (1007, 'Ceramics Industry', 5651 , 'A4598');</t>
  </si>
  <si>
    <t>insert into Type_Industry(Type_Industry_ID, Type_Industry, Manufacturing_Operation_ID, Workstation_Type_ID) values (1008, 'Ceramics Industry', 5653 , 'C5637');</t>
  </si>
  <si>
    <t>insert into Type_Industry(Type_Industry_ID, Type_Industry, Manufacturing_Operation_ID, Workstation_Type_ID) values (1009, 'Metal or Ceramics Industry', 5655 , 'A4588');</t>
  </si>
  <si>
    <t>insert into Type_Industry(Type_Industry_ID, Type_Industry, Manufacturing_Operation_ID, Workstation_Type_ID) values (1010, 'Metal or Ceramics Industry', 5655 , 'A4598');</t>
  </si>
  <si>
    <t>insert into Type_Industry(Type_Industry_ID, Type_Industry, Manufacturing_Operation_ID, Workstation_Type_ID) values (1011, 'Metal or Ceramics Industry', 5657 , 'C5637');</t>
  </si>
  <si>
    <t>insert into Type_Industry(Type_Industry_ID, Type_Industry, Manufacturing_Operation_ID, Workstation_Type_ID) values (1012, 'Metal Industry', 5659 , 'S3271');</t>
  </si>
  <si>
    <t>insert into Type_Industry(Type_Industry_ID, Type_Industry, Manufacturing_Operation_ID, Workstation_Type_ID) values (1013, 'Metal Industry', 5661, 'T3452');</t>
  </si>
  <si>
    <t>insert into Type_Industry(Type_Industry_ID, Type_Industry, Manufacturing_Operation_ID, Workstation_Type_ID) values (1014, 'Metal or Ceramics Industry', 5663, 'K3675');</t>
  </si>
  <si>
    <t>insert into Type_Industry(Type_Industry_ID, Type_Industry, Manufacturing_Operation_ID, Workstation_Type_ID) values (1015, 'Metal Industry', 5665, 'D9123');</t>
  </si>
  <si>
    <t>insert into Type_Industry(Type_Industry_ID, Type_Industry, Manufacturing_Operation_ID, Workstation_Type_ID) values (1016, 'Metal or Ceramics Industry', 5667, 'Q3547');</t>
  </si>
  <si>
    <t>insert into Type_Industry(Type_Industry_ID, Type_Industry, Manufacturing_Operation_ID, Workstation_Type_ID) values (1017, 'Ceramics Industry', 5669, 'Q3547');</t>
  </si>
  <si>
    <t>insert into Type_Industry(Type_Industry_ID, Type_Industry, Manufacturing_Operation_ID, Workstation_Type_ID) values (1018, 'Metal Industry', 5671, 'Q5478');</t>
  </si>
  <si>
    <t>insert into Country (Country_ID, Country_Name) values (620, 'Portugal');</t>
  </si>
  <si>
    <t>insert into Country (Country_ID, Country_Name) values (203, 'Czechia');</t>
  </si>
  <si>
    <t>insert into Type (ID, Name) values (1, 'Individual');</t>
  </si>
  <si>
    <t>insert into Type (ID, Name) values (2, 'Company');</t>
  </si>
  <si>
    <t>insert into Status(Status) values ('Activated');</t>
  </si>
  <si>
    <t>insert into Status(Status) values ('Deactivated');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</si>
</sst>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8C6-F495-435D-B053-FB604FC6DD2C}">
  <dimension ref="A1:I29"/>
  <sheetViews>
    <sheetView workbookViewId="0">
      <selection activeCell="D27" sqref="D27"/>
    </sheetView>
  </sheetViews>
  <sheetFormatPr defaultRowHeight="14.25" x14ac:dyDescent="0.45"/>
  <cols>
    <col min="2" max="2" width="22.796875" bestFit="1" customWidth="1"/>
    <col min="3" max="3" width="13.9296875" customWidth="1"/>
    <col min="4" max="4" width="47" bestFit="1" customWidth="1"/>
    <col min="5" max="5" width="10.73046875" customWidth="1"/>
    <col min="6" max="6" width="19.59765625" bestFit="1" customWidth="1"/>
    <col min="7" max="7" width="11.33203125" customWidth="1"/>
    <col min="8" max="8" width="20.59765625" bestFit="1" customWidth="1"/>
    <col min="9" max="9" width="12.9296875" bestFit="1" customWidth="1"/>
  </cols>
  <sheetData>
    <row r="1" spans="1:9" x14ac:dyDescent="0.45">
      <c r="A1" t="s">
        <v>166</v>
      </c>
      <c r="B1" t="s">
        <v>0</v>
      </c>
      <c r="C1" t="s">
        <v>3</v>
      </c>
      <c r="D1" t="s">
        <v>1</v>
      </c>
      <c r="E1" t="s">
        <v>2</v>
      </c>
      <c r="F1" t="s">
        <v>15</v>
      </c>
      <c r="G1" t="s">
        <v>16</v>
      </c>
      <c r="H1" t="s">
        <v>167</v>
      </c>
      <c r="I1" t="s">
        <v>151</v>
      </c>
    </row>
    <row r="2" spans="1:9" x14ac:dyDescent="0.45">
      <c r="A2">
        <v>456</v>
      </c>
      <c r="B2" t="s">
        <v>5</v>
      </c>
      <c r="C2" t="s">
        <v>4</v>
      </c>
      <c r="D2" t="s">
        <v>131</v>
      </c>
      <c r="E2" t="s">
        <v>132</v>
      </c>
      <c r="F2" t="s">
        <v>133</v>
      </c>
      <c r="G2" t="s">
        <v>17</v>
      </c>
      <c r="H2" t="s">
        <v>152</v>
      </c>
      <c r="I2" t="s">
        <v>153</v>
      </c>
    </row>
    <row r="3" spans="1:9" x14ac:dyDescent="0.45">
      <c r="A3">
        <v>785</v>
      </c>
      <c r="B3" t="s">
        <v>6</v>
      </c>
      <c r="C3" t="s">
        <v>7</v>
      </c>
      <c r="D3" t="s">
        <v>134</v>
      </c>
      <c r="E3" t="s">
        <v>135</v>
      </c>
      <c r="F3" t="s">
        <v>136</v>
      </c>
      <c r="G3" t="s">
        <v>17</v>
      </c>
      <c r="H3" t="s">
        <v>163</v>
      </c>
      <c r="I3" t="s">
        <v>153</v>
      </c>
    </row>
    <row r="4" spans="1:9" x14ac:dyDescent="0.45">
      <c r="A4">
        <v>657</v>
      </c>
      <c r="B4" t="s">
        <v>139</v>
      </c>
      <c r="C4" t="s">
        <v>8</v>
      </c>
      <c r="D4" t="s">
        <v>140</v>
      </c>
      <c r="E4" t="s">
        <v>138</v>
      </c>
      <c r="F4" t="s">
        <v>137</v>
      </c>
      <c r="G4" t="s">
        <v>17</v>
      </c>
      <c r="H4" t="s">
        <v>164</v>
      </c>
      <c r="I4" t="s">
        <v>153</v>
      </c>
    </row>
    <row r="5" spans="1:9" x14ac:dyDescent="0.45">
      <c r="A5">
        <v>348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165</v>
      </c>
      <c r="I5" s="2" t="s">
        <v>154</v>
      </c>
    </row>
    <row r="9" spans="1:9" x14ac:dyDescent="0.45">
      <c r="B9" t="str">
        <f>_xlfn.CONCAT("insert into Customer(Customer_ID, NIF, Name, Address, Mobile_number, Email, type_ID, Country_ID, Status) values ('",A2,"', '",C2,"', '",B2,"', '",D2,", ",E2," ",F2,", ",G2,"', ",I2,", '",H2,"', 2, 620, 'Activated');")</f>
        <v>insert into Customer(Customer_ID, NIF, Name, Address, Mobile_number, Email, type_ID, Country_ID, Status) values ('456', 'PT501245987', 'Carvalho &amp; Carvalho, Lda', 'Tv. Augusto Lessa 23, 4200-047 Porto, Portugal', 003518340500, 'idont@care.com', 2, 620, 'Activated');</v>
      </c>
    </row>
    <row r="10" spans="1:9" x14ac:dyDescent="0.45">
      <c r="B10" t="str">
        <f t="shared" ref="B10:B17" si="0">_xlfn.CONCAT("insert into Customer(Customer_ID, NIF, Name, Address, Mobile_number, Email, type_ID, Country_ID, Status) values ('",A3,"', '",C3,"', '",B3,"', '",D3,", ",E3," ",F3,", ",G3,"', ",I3,", '",H3,"', 2, 620, 'Activated');")</f>
        <v>insert into Customer(Customer_ID, NIF, Name, Address, Mobile_number, Email, type_ID, Country_ID, Status) values ('785', 'PT501245488', 'Tudo para a casa, Lda', 'R. Dr. Barros 93, 4465-219 São Mamede de Infesta, Portugal', 003518340500, 'me@neither.com', 2, 620, 'Activated');</v>
      </c>
    </row>
    <row r="11" spans="1:9" x14ac:dyDescent="0.45">
      <c r="B11" t="str">
        <f t="shared" si="0"/>
        <v>insert into Customer(Customer_ID, NIF, Name, Address, Mobile_number, Email, type_ID, Country_ID, Status) values ('657', 'PT501242417', 'Sair de Cena', 'EDIFICIO CRISTAL lj18, R. António Correia de Carvalho 88, 4400-023 Vila Nova de Gaia, Portugal', 003518340500, 'some@email.com', 2, 620, 'Activated');</v>
      </c>
    </row>
    <row r="12" spans="1:9" x14ac:dyDescent="0.45">
      <c r="B12" t="str">
        <f>_xlfn.CONCAT("insert into Customer(Customer_ID, NIF, Name, Address, Mobile_number, Email, type_ID, Country_ID, Status) values ('",A5,"', '",C5,"', '",B5,"', '",D5,", ",E5," ",F5,", ",G5,"', ",I5,", '",H5,"', 1, 203, 'Activated');")</f>
        <v>insert into Customer(Customer_ID, NIF, Name, Address, Mobile_number, Email, type_ID, Country_ID, Status) values ('348', 'CZ6451237810', 'U Fleku', 'Křemencova 11, 110 00 Nové Město, Czechia', 004201234567, 'some.random@email.cz', 1, 203, 'Activated');</v>
      </c>
    </row>
    <row r="22" spans="2:2" x14ac:dyDescent="0.45">
      <c r="B22" t="s">
        <v>192</v>
      </c>
    </row>
    <row r="23" spans="2:2" x14ac:dyDescent="0.45">
      <c r="B23" t="s">
        <v>193</v>
      </c>
    </row>
    <row r="25" spans="2:2" x14ac:dyDescent="0.45">
      <c r="B25" t="s">
        <v>194</v>
      </c>
    </row>
    <row r="26" spans="2:2" x14ac:dyDescent="0.45">
      <c r="B26" t="s">
        <v>195</v>
      </c>
    </row>
    <row r="28" spans="2:2" x14ac:dyDescent="0.45">
      <c r="B28" t="s">
        <v>196</v>
      </c>
    </row>
    <row r="29" spans="2:2" x14ac:dyDescent="0.45">
      <c r="B29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EF7-7F05-4929-9267-83A028A1D45D}">
  <dimension ref="A1:D28"/>
  <sheetViews>
    <sheetView tabSelected="1" topLeftCell="A6" workbookViewId="0">
      <selection activeCell="B22" sqref="B22"/>
    </sheetView>
  </sheetViews>
  <sheetFormatPr defaultRowHeight="14.25" x14ac:dyDescent="0.45"/>
  <cols>
    <col min="1" max="1" width="13.265625" customWidth="1"/>
    <col min="2" max="2" width="23.33203125" customWidth="1"/>
    <col min="3" max="3" width="35.9296875" bestFit="1" customWidth="1"/>
  </cols>
  <sheetData>
    <row r="1" spans="1:4" x14ac:dyDescent="0.45">
      <c r="A1" t="s">
        <v>18</v>
      </c>
      <c r="B1" t="s">
        <v>0</v>
      </c>
      <c r="C1" t="s">
        <v>19</v>
      </c>
      <c r="D1" t="s">
        <v>145</v>
      </c>
    </row>
    <row r="2" spans="1:4" x14ac:dyDescent="0.45">
      <c r="A2" t="s">
        <v>30</v>
      </c>
      <c r="B2" t="s">
        <v>20</v>
      </c>
      <c r="C2" t="s">
        <v>21</v>
      </c>
      <c r="D2">
        <v>130</v>
      </c>
    </row>
    <row r="3" spans="1:4" x14ac:dyDescent="0.45">
      <c r="A3" t="s">
        <v>23</v>
      </c>
      <c r="B3" t="s">
        <v>22</v>
      </c>
      <c r="C3" t="s">
        <v>24</v>
      </c>
      <c r="D3">
        <v>125</v>
      </c>
    </row>
    <row r="4" spans="1:4" x14ac:dyDescent="0.45">
      <c r="A4" t="s">
        <v>25</v>
      </c>
      <c r="B4" t="s">
        <v>26</v>
      </c>
      <c r="C4" t="s">
        <v>27</v>
      </c>
      <c r="D4">
        <v>125</v>
      </c>
    </row>
    <row r="5" spans="1:4" x14ac:dyDescent="0.45">
      <c r="A5" t="s">
        <v>28</v>
      </c>
      <c r="B5" t="s">
        <v>156</v>
      </c>
      <c r="C5" t="s">
        <v>157</v>
      </c>
      <c r="D5">
        <v>125</v>
      </c>
    </row>
    <row r="6" spans="1:4" x14ac:dyDescent="0.45">
      <c r="A6" t="s">
        <v>158</v>
      </c>
      <c r="B6" t="s">
        <v>29</v>
      </c>
      <c r="C6" t="s">
        <v>79</v>
      </c>
      <c r="D6">
        <v>132</v>
      </c>
    </row>
    <row r="7" spans="1:4" x14ac:dyDescent="0.45">
      <c r="A7" t="s">
        <v>77</v>
      </c>
      <c r="B7" t="s">
        <v>78</v>
      </c>
      <c r="C7" t="s">
        <v>80</v>
      </c>
      <c r="D7">
        <v>145</v>
      </c>
    </row>
    <row r="8" spans="1:4" x14ac:dyDescent="0.45">
      <c r="A8" t="s">
        <v>83</v>
      </c>
      <c r="B8" t="s">
        <v>82</v>
      </c>
      <c r="C8" t="s">
        <v>81</v>
      </c>
      <c r="D8">
        <v>146</v>
      </c>
    </row>
    <row r="13" spans="1:4" x14ac:dyDescent="0.45">
      <c r="B13" t="str">
        <f>_xlfn.CONCAT("insert into Product (Product_ID, Product_Name, Product_Description, Factory_Plant_ID, Family_ID) values ('",A2,"', '",B2,"', '",C2,"', 1, ",D2,");")</f>
        <v>insert into Product (Product_ID, Product_Name, Product_Description, Factory_Plant_ID, Family_ID) values ('AS12945T22', 'La Belle 22 5l pot', '5l 22 cm aluminium and teflon non stick pot', 1, 130);</v>
      </c>
    </row>
    <row r="14" spans="1:4" x14ac:dyDescent="0.45">
      <c r="B14" t="str">
        <f t="shared" ref="B14:B19" si="0">_xlfn.CONCAT("insert into Product (Product_ID, Product_Name, Product_Description, Factory_Plant_ID, Family_ID) values ('",A3,"', '",B3,"', '",C3,"', 1, ",D3,");")</f>
        <v>insert into Product (Product_ID, Product_Name, Product_Description, Factory_Plant_ID, Family_ID) values ('AS12945S22', 'Pro 22 5l pot', '5l 22 cm stainless steel pot', 1, 125);</v>
      </c>
    </row>
    <row r="15" spans="1:4" x14ac:dyDescent="0.45">
      <c r="B15" t="str">
        <f t="shared" si="0"/>
        <v>insert into Product (Product_ID, Product_Name, Product_Description, Factory_Plant_ID, Family_ID) values ('AS12945S20', 'Pro 20 3l pot', '3l 20 cm stainless steel pot', 1, 125);</v>
      </c>
    </row>
    <row r="16" spans="1:4" x14ac:dyDescent="0.45">
      <c r="B16" t="str">
        <f t="shared" si="0"/>
        <v>insert into Product (Product_ID, Product_Name, Product_Description, Factory_Plant_ID, Family_ID) values ('AS12945S17', 'Pro 17 2l pot', '2l 17 cm stainless steel pot', 1, 125);</v>
      </c>
    </row>
    <row r="17" spans="2:2" x14ac:dyDescent="0.45">
      <c r="B17" t="str">
        <f t="shared" si="0"/>
        <v>insert into Product (Product_ID, Product_Name, Product_Description, Factory_Plant_ID, Family_ID) values ('AS12945P17', 'Pro 17 2l sauce pan', '2l 17 cm stainless steel souce pan', 1, 132);</v>
      </c>
    </row>
    <row r="18" spans="2:2" x14ac:dyDescent="0.45">
      <c r="B18" t="str">
        <f t="shared" si="0"/>
        <v>insert into Product (Product_ID, Product_Name, Product_Description, Factory_Plant_ID, Family_ID) values ('AS12945S48', 'Pro 17 lid', '17 cm stainless steel lid', 1, 145);</v>
      </c>
    </row>
    <row r="19" spans="2:2" x14ac:dyDescent="0.45">
      <c r="B19" t="str">
        <f t="shared" si="0"/>
        <v>insert into Product (Product_ID, Product_Name, Product_Description, Factory_Plant_ID, Family_ID) values ('AS12945G48', 'Pro Clear 17 lid', '17 cm glass lid', 1, 146);</v>
      </c>
    </row>
    <row r="22" spans="2:2" x14ac:dyDescent="0.45">
      <c r="B22" t="str">
        <f>_xlfn.CONCAT("insert into BOM(Product_ID) values('",A2,"');")</f>
        <v>insert into BOM(Product_ID) values('AS12945T22');</v>
      </c>
    </row>
    <row r="23" spans="2:2" x14ac:dyDescent="0.45">
      <c r="B23" t="str">
        <f t="shared" ref="B23:B30" si="1">_xlfn.CONCAT("insert into BOM(Product_ID) values('",A3,"')",)</f>
        <v>insert into BOM(Product_ID) values('AS12945S22')</v>
      </c>
    </row>
    <row r="24" spans="2:2" x14ac:dyDescent="0.45">
      <c r="B24" t="str">
        <f t="shared" si="1"/>
        <v>insert into BOM(Product_ID) values('AS12945S20')</v>
      </c>
    </row>
    <row r="25" spans="2:2" x14ac:dyDescent="0.45">
      <c r="B25" t="str">
        <f t="shared" si="1"/>
        <v>insert into BOM(Product_ID) values('AS12945S17')</v>
      </c>
    </row>
    <row r="26" spans="2:2" x14ac:dyDescent="0.45">
      <c r="B26" t="str">
        <f t="shared" si="1"/>
        <v>insert into BOM(Product_ID) values('AS12945P17')</v>
      </c>
    </row>
    <row r="27" spans="2:2" x14ac:dyDescent="0.45">
      <c r="B27" t="str">
        <f t="shared" si="1"/>
        <v>insert into BOM(Product_ID) values('AS12945S48')</v>
      </c>
    </row>
    <row r="28" spans="2:2" x14ac:dyDescent="0.45">
      <c r="B28" t="str">
        <f t="shared" si="1"/>
        <v>insert into BOM(Product_ID) values('AS12945G48')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3423-14BC-4B6A-8318-AD0C48152F2D}">
  <dimension ref="A1:B15"/>
  <sheetViews>
    <sheetView workbookViewId="0">
      <selection activeCell="B11" sqref="B11:B15"/>
    </sheetView>
  </sheetViews>
  <sheetFormatPr defaultRowHeight="14.25" x14ac:dyDescent="0.45"/>
  <cols>
    <col min="2" max="2" width="14.06640625" customWidth="1"/>
  </cols>
  <sheetData>
    <row r="1" spans="1:2" x14ac:dyDescent="0.45">
      <c r="A1" t="s">
        <v>144</v>
      </c>
      <c r="B1" t="s">
        <v>0</v>
      </c>
    </row>
    <row r="2" spans="1:2" x14ac:dyDescent="0.45">
      <c r="A2">
        <v>125</v>
      </c>
      <c r="B2" t="s">
        <v>146</v>
      </c>
    </row>
    <row r="3" spans="1:2" x14ac:dyDescent="0.45">
      <c r="A3">
        <v>130</v>
      </c>
      <c r="B3" t="s">
        <v>147</v>
      </c>
    </row>
    <row r="4" spans="1:2" x14ac:dyDescent="0.45">
      <c r="A4">
        <v>132</v>
      </c>
      <c r="B4" t="s">
        <v>148</v>
      </c>
    </row>
    <row r="5" spans="1:2" x14ac:dyDescent="0.45">
      <c r="A5">
        <v>145</v>
      </c>
      <c r="B5" t="s">
        <v>149</v>
      </c>
    </row>
    <row r="6" spans="1:2" x14ac:dyDescent="0.45">
      <c r="A6">
        <v>146</v>
      </c>
      <c r="B6" t="s">
        <v>150</v>
      </c>
    </row>
    <row r="11" spans="1:2" x14ac:dyDescent="0.45">
      <c r="B11" t="str">
        <f>_xlfn.CONCAT("insert into Product_Family(Product_Family_ID, Family_Description) values (",A2,", '",B2,"');")</f>
        <v>insert into Product_Family(Product_Family_ID, Family_Description) values (125, 'Pro Line pots');</v>
      </c>
    </row>
    <row r="12" spans="1:2" x14ac:dyDescent="0.45">
      <c r="B12" t="str">
        <f t="shared" ref="B12:B15" si="0">_xlfn.CONCAT("insert into Product_Family(Product_Family_ID, Family_Description) values (",A3,", '",B3,"');")</f>
        <v>insert into Product_Family(Product_Family_ID, Family_Description) values (130, 'La Belle pots');</v>
      </c>
    </row>
    <row r="13" spans="1:2" x14ac:dyDescent="0.45">
      <c r="B13" t="str">
        <f t="shared" si="0"/>
        <v>insert into Product_Family(Product_Family_ID, Family_Description) values (132, 'Pro Line pans');</v>
      </c>
    </row>
    <row r="14" spans="1:2" x14ac:dyDescent="0.45">
      <c r="B14" t="str">
        <f t="shared" si="0"/>
        <v>insert into Product_Family(Product_Family_ID, Family_Description) values (145, 'Pro Line lids');</v>
      </c>
    </row>
    <row r="15" spans="1:2" x14ac:dyDescent="0.45">
      <c r="B15" t="str">
        <f t="shared" si="0"/>
        <v>insert into Product_Family(Product_Family_ID, Family_Description) values (146, 'Pro Clear lids');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0C24-4865-4CED-BECB-9AD0BD718C1F}">
  <dimension ref="A1:H29"/>
  <sheetViews>
    <sheetView topLeftCell="A2" workbookViewId="0">
      <selection activeCell="H2" sqref="H2"/>
    </sheetView>
  </sheetViews>
  <sheetFormatPr defaultRowHeight="14.25" x14ac:dyDescent="0.45"/>
  <cols>
    <col min="3" max="3" width="10.9296875" bestFit="1" customWidth="1"/>
    <col min="5" max="5" width="18.796875" customWidth="1"/>
    <col min="6" max="6" width="14.53125" customWidth="1"/>
  </cols>
  <sheetData>
    <row r="1" spans="1:8" x14ac:dyDescent="0.45">
      <c r="A1" t="s">
        <v>126</v>
      </c>
      <c r="B1" t="s">
        <v>130</v>
      </c>
      <c r="C1" t="s">
        <v>127</v>
      </c>
      <c r="D1" t="s">
        <v>89</v>
      </c>
      <c r="E1" t="s">
        <v>128</v>
      </c>
      <c r="F1" t="s">
        <v>129</v>
      </c>
    </row>
    <row r="2" spans="1:8" x14ac:dyDescent="0.45">
      <c r="A2" s="4">
        <v>1</v>
      </c>
      <c r="B2" s="4">
        <v>785</v>
      </c>
      <c r="C2" s="4" t="s">
        <v>23</v>
      </c>
      <c r="D2" s="4">
        <v>5</v>
      </c>
      <c r="E2" s="3">
        <v>45550</v>
      </c>
      <c r="F2" s="3">
        <v>45558</v>
      </c>
      <c r="H2" t="str">
        <f>_xlfn.CONCAT("insert into Customer_Order_Product(Customer_Order_ID, Product_ID, Quantity) values (",A2,", '",C2,"', ",D2,");")</f>
        <v>insert into Customer_Order_Product(Customer_Order_ID, Product_ID, Quantity) values (1, 'AS12945S22', 5);</v>
      </c>
    </row>
    <row r="3" spans="1:8" x14ac:dyDescent="0.45">
      <c r="A3">
        <v>1</v>
      </c>
      <c r="B3">
        <v>785</v>
      </c>
      <c r="C3" t="s">
        <v>25</v>
      </c>
      <c r="D3">
        <v>15</v>
      </c>
      <c r="E3" s="1">
        <v>45550</v>
      </c>
      <c r="F3" s="1">
        <v>45558</v>
      </c>
      <c r="H3" t="str">
        <f t="shared" ref="H3:H14" si="0">_xlfn.CONCAT("insert into Customer_Order_Product(Customer_Order_ID, Product_ID, Quantity) values (",A3,", '",C3,"', ",D3,");")</f>
        <v>insert into Customer_Order_Product(Customer_Order_ID, Product_ID, Quantity) values (1, 'AS12945S20', 15);</v>
      </c>
    </row>
    <row r="4" spans="1:8" x14ac:dyDescent="0.45">
      <c r="A4" s="4">
        <v>2</v>
      </c>
      <c r="B4" s="4">
        <v>657</v>
      </c>
      <c r="C4" s="4" t="s">
        <v>23</v>
      </c>
      <c r="D4" s="4">
        <v>10</v>
      </c>
      <c r="E4" s="3">
        <v>45550</v>
      </c>
      <c r="F4" s="3">
        <v>45561</v>
      </c>
      <c r="H4" t="str">
        <f t="shared" si="0"/>
        <v>insert into Customer_Order_Product(Customer_Order_ID, Product_ID, Quantity) values (2, 'AS12945S22', 10);</v>
      </c>
    </row>
    <row r="5" spans="1:8" x14ac:dyDescent="0.45">
      <c r="A5">
        <v>2</v>
      </c>
      <c r="B5">
        <v>657</v>
      </c>
      <c r="C5" t="s">
        <v>158</v>
      </c>
      <c r="D5">
        <v>20</v>
      </c>
      <c r="E5" s="1">
        <v>45550</v>
      </c>
      <c r="F5" s="1">
        <v>45561</v>
      </c>
      <c r="H5" t="str">
        <f t="shared" si="0"/>
        <v>insert into Customer_Order_Product(Customer_Order_ID, Product_ID, Quantity) values (2, 'AS12945P17', 20);</v>
      </c>
    </row>
    <row r="6" spans="1:8" x14ac:dyDescent="0.45">
      <c r="A6" s="4">
        <v>3</v>
      </c>
      <c r="B6" s="4">
        <v>348</v>
      </c>
      <c r="C6" s="4" t="s">
        <v>23</v>
      </c>
      <c r="D6" s="4">
        <v>10</v>
      </c>
      <c r="E6" s="3">
        <v>45550</v>
      </c>
      <c r="F6" s="3">
        <v>45560</v>
      </c>
      <c r="H6" t="str">
        <f t="shared" si="0"/>
        <v>insert into Customer_Order_Product(Customer_Order_ID, Product_ID, Quantity) values (3, 'AS12945S22', 10);</v>
      </c>
    </row>
    <row r="7" spans="1:8" x14ac:dyDescent="0.45">
      <c r="A7">
        <v>3</v>
      </c>
      <c r="B7">
        <v>348</v>
      </c>
      <c r="C7" t="s">
        <v>25</v>
      </c>
      <c r="D7">
        <v>10</v>
      </c>
      <c r="E7" s="1">
        <v>45550</v>
      </c>
      <c r="F7" s="1">
        <v>45560</v>
      </c>
      <c r="H7" t="str">
        <f t="shared" si="0"/>
        <v>insert into Customer_Order_Product(Customer_Order_ID, Product_ID, Quantity) values (3, 'AS12945S20', 10);</v>
      </c>
    </row>
    <row r="8" spans="1:8" x14ac:dyDescent="0.45">
      <c r="A8" s="4">
        <v>4</v>
      </c>
      <c r="B8" s="4">
        <v>785</v>
      </c>
      <c r="C8" s="4" t="s">
        <v>25</v>
      </c>
      <c r="D8" s="4">
        <v>24</v>
      </c>
      <c r="E8" s="3">
        <v>45553</v>
      </c>
      <c r="F8" s="3">
        <v>45560</v>
      </c>
      <c r="H8" t="str">
        <f t="shared" si="0"/>
        <v>insert into Customer_Order_Product(Customer_Order_ID, Product_ID, Quantity) values (4, 'AS12945S20', 24);</v>
      </c>
    </row>
    <row r="9" spans="1:8" x14ac:dyDescent="0.45">
      <c r="A9">
        <v>4</v>
      </c>
      <c r="B9">
        <v>785</v>
      </c>
      <c r="C9" t="s">
        <v>23</v>
      </c>
      <c r="D9">
        <v>16</v>
      </c>
      <c r="E9" s="1">
        <v>45553</v>
      </c>
      <c r="F9" s="1">
        <v>45560</v>
      </c>
      <c r="H9" t="str">
        <f t="shared" si="0"/>
        <v>insert into Customer_Order_Product(Customer_Order_ID, Product_ID, Quantity) values (4, 'AS12945S22', 16);</v>
      </c>
    </row>
    <row r="10" spans="1:8" x14ac:dyDescent="0.45">
      <c r="A10">
        <v>4</v>
      </c>
      <c r="B10">
        <v>785</v>
      </c>
      <c r="C10" t="s">
        <v>28</v>
      </c>
      <c r="D10">
        <v>8</v>
      </c>
      <c r="E10" s="1">
        <v>45553</v>
      </c>
      <c r="F10" s="1">
        <v>45560</v>
      </c>
      <c r="H10" t="str">
        <f t="shared" si="0"/>
        <v>insert into Customer_Order_Product(Customer_Order_ID, Product_ID, Quantity) values (4, 'AS12945S17', 8);</v>
      </c>
    </row>
    <row r="11" spans="1:8" x14ac:dyDescent="0.45">
      <c r="A11" s="4">
        <v>5</v>
      </c>
      <c r="B11" s="4">
        <v>657</v>
      </c>
      <c r="C11" s="4" t="s">
        <v>23</v>
      </c>
      <c r="D11" s="4">
        <v>12</v>
      </c>
      <c r="E11" s="3">
        <v>45553</v>
      </c>
      <c r="F11" s="3">
        <v>45560</v>
      </c>
      <c r="H11" t="str">
        <f t="shared" si="0"/>
        <v>insert into Customer_Order_Product(Customer_Order_ID, Product_ID, Quantity) values (5, 'AS12945S22', 12);</v>
      </c>
    </row>
    <row r="12" spans="1:8" x14ac:dyDescent="0.45">
      <c r="A12">
        <v>6</v>
      </c>
      <c r="B12">
        <v>348</v>
      </c>
      <c r="C12" t="s">
        <v>28</v>
      </c>
      <c r="D12">
        <v>8</v>
      </c>
      <c r="E12" s="1">
        <v>45553</v>
      </c>
      <c r="F12" s="1">
        <v>45561</v>
      </c>
      <c r="H12" t="str">
        <f t="shared" si="0"/>
        <v>insert into Customer_Order_Product(Customer_Order_ID, Product_ID, Quantity) values (6, 'AS12945S17', 8);</v>
      </c>
    </row>
    <row r="13" spans="1:8" x14ac:dyDescent="0.45">
      <c r="A13" s="4">
        <v>6</v>
      </c>
      <c r="B13" s="4">
        <v>348</v>
      </c>
      <c r="C13" s="4" t="s">
        <v>158</v>
      </c>
      <c r="D13" s="4">
        <v>16</v>
      </c>
      <c r="E13" s="3">
        <v>45553</v>
      </c>
      <c r="F13" s="3">
        <v>45561</v>
      </c>
      <c r="H13" t="str">
        <f t="shared" si="0"/>
        <v>insert into Customer_Order_Product(Customer_Order_ID, Product_ID, Quantity) values (6, 'AS12945P17', 16);</v>
      </c>
    </row>
    <row r="14" spans="1:8" x14ac:dyDescent="0.45">
      <c r="A14" s="4">
        <v>7</v>
      </c>
      <c r="B14" s="4">
        <v>456</v>
      </c>
      <c r="C14" s="4" t="s">
        <v>23</v>
      </c>
      <c r="D14" s="4">
        <v>8</v>
      </c>
      <c r="E14" s="3">
        <v>45556</v>
      </c>
      <c r="F14" s="3">
        <v>45561</v>
      </c>
      <c r="H14" t="str">
        <f t="shared" si="0"/>
        <v>insert into Customer_Order_Product(Customer_Order_ID, Product_ID, Quantity) values (7, 'AS12945S22', 8);</v>
      </c>
    </row>
    <row r="17" spans="4:4" x14ac:dyDescent="0.45">
      <c r="D17" t="str">
        <f>_xlfn.CONCAT("insert into Customer_Order(Customer_Order_ID, Order_Date, Delivery_Date, Customer_ID) values (",A2,", TO_DATE('15/09/2024', 'DD/MM/YYYY'), TO_DATE('23/09/2024', 'DD/MM/YYYY'), ",B2,");")</f>
        <v>insert into Customer_Order(Customer_Order_ID, Order_Date, Delivery_Date, Customer_ID) values (1, TO_DATE('15/09/2024', 'DD/MM/YYYY'), TO_DATE('23/09/2024', 'DD/MM/YYYY'), 785);</v>
      </c>
    </row>
    <row r="19" spans="4:4" x14ac:dyDescent="0.45">
      <c r="D19" t="str">
        <f t="shared" ref="D19:D29" si="1">_xlfn.CONCAT("insert into Customer_Order(Customer_Order_ID, Order_Date, Delivery_Date, Customer_ID) values (",A4,", TO_DATE('15/09/2024', 'DD/MM/YYYY'), TO_DATE('23/09/2024', 'DD/MM/YYYY'), ",B4,");")</f>
        <v>insert into Customer_Order(Customer_Order_ID, Order_Date, Delivery_Date, Customer_ID) values (2, TO_DATE('15/09/2024', 'DD/MM/YYYY'), TO_DATE('23/09/2024', 'DD/MM/YYYY'), 657);</v>
      </c>
    </row>
    <row r="21" spans="4:4" x14ac:dyDescent="0.45">
      <c r="D21" t="str">
        <f t="shared" si="1"/>
        <v>insert into Customer_Order(Customer_Order_ID, Order_Date, Delivery_Date, Customer_ID) values (3, TO_DATE('15/09/2024', 'DD/MM/YYYY'), TO_DATE('23/09/2024', 'DD/MM/YYYY'), 348);</v>
      </c>
    </row>
    <row r="23" spans="4:4" x14ac:dyDescent="0.45">
      <c r="D23" t="str">
        <f t="shared" si="1"/>
        <v>insert into Customer_Order(Customer_Order_ID, Order_Date, Delivery_Date, Customer_ID) values (4, TO_DATE('15/09/2024', 'DD/MM/YYYY'), TO_DATE('23/09/2024', 'DD/MM/YYYY'), 785);</v>
      </c>
    </row>
    <row r="26" spans="4:4" x14ac:dyDescent="0.45">
      <c r="D26" t="str">
        <f t="shared" si="1"/>
        <v>insert into Customer_Order(Customer_Order_ID, Order_Date, Delivery_Date, Customer_ID) values (5, TO_DATE('15/09/2024', 'DD/MM/YYYY'), TO_DATE('23/09/2024', 'DD/MM/YYYY'), 657);</v>
      </c>
    </row>
    <row r="27" spans="4:4" x14ac:dyDescent="0.45">
      <c r="D27" t="str">
        <f t="shared" si="1"/>
        <v>insert into Customer_Order(Customer_Order_ID, Order_Date, Delivery_Date, Customer_ID) values (6, TO_DATE('15/09/2024', 'DD/MM/YYYY'), TO_DATE('23/09/2024', 'DD/MM/YYYY'), 348);</v>
      </c>
    </row>
    <row r="29" spans="4:4" x14ac:dyDescent="0.45">
      <c r="D29" t="str">
        <f t="shared" si="1"/>
        <v>insert into Customer_Order(Customer_Order_ID, Order_Date, Delivery_Date, Customer_ID) values (7, TO_DATE('15/09/2024', 'DD/MM/YYYY'), TO_DATE('23/09/2024', 'DD/MM/YYYY'), 456);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68F-3FE6-476E-97DD-6EBBFE3BD57E}">
  <dimension ref="A1:G40"/>
  <sheetViews>
    <sheetView workbookViewId="0">
      <selection activeCell="H21" sqref="H21"/>
    </sheetView>
  </sheetViews>
  <sheetFormatPr defaultRowHeight="14.25" x14ac:dyDescent="0.45"/>
  <cols>
    <col min="1" max="1" width="10.53125" customWidth="1"/>
    <col min="2" max="2" width="23" customWidth="1"/>
    <col min="3" max="5" width="14.46484375" bestFit="1" customWidth="1"/>
  </cols>
  <sheetData>
    <row r="1" spans="1:7" x14ac:dyDescent="0.45">
      <c r="A1" t="s">
        <v>31</v>
      </c>
      <c r="B1" t="s">
        <v>19</v>
      </c>
      <c r="C1" t="s">
        <v>141</v>
      </c>
      <c r="D1" t="s">
        <v>141</v>
      </c>
      <c r="E1" t="s">
        <v>141</v>
      </c>
    </row>
    <row r="2" spans="1:7" x14ac:dyDescent="0.45">
      <c r="A2">
        <v>5647</v>
      </c>
      <c r="B2" t="s">
        <v>49</v>
      </c>
      <c r="C2" t="s">
        <v>33</v>
      </c>
      <c r="D2" t="s">
        <v>40</v>
      </c>
      <c r="E2" t="s">
        <v>42</v>
      </c>
      <c r="G2" t="str">
        <f t="shared" ref="G2:G19" si="0">_xlfn.CONCAT("insert into Manufacturing_Operation(Manufacturing_Operation_ID, Operation_Description) values (",A2,", '",B2,"');")</f>
        <v>insert into Manufacturing_Operation(Manufacturing_Operation_ID, Operation_Description) values (5647, 'Disc cutting');</v>
      </c>
    </row>
    <row r="3" spans="1:7" x14ac:dyDescent="0.45">
      <c r="A3">
        <v>5649</v>
      </c>
      <c r="B3" t="s">
        <v>50</v>
      </c>
      <c r="C3" t="s">
        <v>40</v>
      </c>
      <c r="D3" t="s">
        <v>42</v>
      </c>
      <c r="G3" t="str">
        <f t="shared" si="0"/>
        <v>insert into Manufacturing_Operation(Manufacturing_Operation_ID, Operation_Description) values (5649, 'Initial pot base pressing');</v>
      </c>
    </row>
    <row r="4" spans="1:7" x14ac:dyDescent="0.45">
      <c r="A4">
        <v>5651</v>
      </c>
      <c r="B4" t="s">
        <v>51</v>
      </c>
      <c r="C4" t="s">
        <v>40</v>
      </c>
      <c r="D4" t="s">
        <v>42</v>
      </c>
      <c r="G4" t="str">
        <f t="shared" si="0"/>
        <v>insert into Manufacturing_Operation(Manufacturing_Operation_ID, Operation_Description) values (5651, 'Final pot base pressing');</v>
      </c>
    </row>
    <row r="5" spans="1:7" x14ac:dyDescent="0.45">
      <c r="A5">
        <v>5653</v>
      </c>
      <c r="B5" t="s">
        <v>54</v>
      </c>
      <c r="C5" t="s">
        <v>61</v>
      </c>
      <c r="G5" t="str">
        <f t="shared" si="0"/>
        <v>insert into Manufacturing_Operation(Manufacturing_Operation_ID, Operation_Description) values (5653, 'Pot base finishing');</v>
      </c>
    </row>
    <row r="6" spans="1:7" x14ac:dyDescent="0.45">
      <c r="A6">
        <v>5655</v>
      </c>
      <c r="B6" t="s">
        <v>52</v>
      </c>
      <c r="C6" t="s">
        <v>40</v>
      </c>
      <c r="D6" t="s">
        <v>42</v>
      </c>
      <c r="G6" t="str">
        <f t="shared" si="0"/>
        <v>insert into Manufacturing_Operation(Manufacturing_Operation_ID, Operation_Description) values (5655, 'Lid pressing');</v>
      </c>
    </row>
    <row r="7" spans="1:7" x14ac:dyDescent="0.45">
      <c r="A7">
        <v>5657</v>
      </c>
      <c r="B7" t="s">
        <v>53</v>
      </c>
      <c r="C7" t="s">
        <v>61</v>
      </c>
      <c r="G7" t="str">
        <f t="shared" si="0"/>
        <v>insert into Manufacturing_Operation(Manufacturing_Operation_ID, Operation_Description) values (5657, 'Lid finishing');</v>
      </c>
    </row>
    <row r="8" spans="1:7" x14ac:dyDescent="0.45">
      <c r="A8">
        <v>5659</v>
      </c>
      <c r="B8" t="s">
        <v>55</v>
      </c>
      <c r="C8" t="s">
        <v>48</v>
      </c>
      <c r="G8" t="str">
        <f t="shared" si="0"/>
        <v>insert into Manufacturing_Operation(Manufacturing_Operation_ID, Operation_Description) values (5659, 'Pot handles riveting');</v>
      </c>
    </row>
    <row r="9" spans="1:7" x14ac:dyDescent="0.45">
      <c r="A9">
        <v>5661</v>
      </c>
      <c r="B9" t="s">
        <v>86</v>
      </c>
      <c r="C9" t="s">
        <v>85</v>
      </c>
      <c r="G9" t="str">
        <f t="shared" si="0"/>
        <v>insert into Manufacturing_Operation(Manufacturing_Operation_ID, Operation_Description) values (5661, 'Lid handle screw');</v>
      </c>
    </row>
    <row r="10" spans="1:7" x14ac:dyDescent="0.45">
      <c r="A10">
        <v>5663</v>
      </c>
      <c r="B10" t="s">
        <v>56</v>
      </c>
      <c r="C10" t="s">
        <v>60</v>
      </c>
      <c r="G10" t="str">
        <f t="shared" si="0"/>
        <v>insert into Manufacturing_Operation(Manufacturing_Operation_ID, Operation_Description) values (5663, 'Pot test and packaging');</v>
      </c>
    </row>
    <row r="11" spans="1:7" x14ac:dyDescent="0.45">
      <c r="A11">
        <v>5665</v>
      </c>
      <c r="B11" t="s">
        <v>64</v>
      </c>
      <c r="C11" t="s">
        <v>63</v>
      </c>
      <c r="G11" t="str">
        <f t="shared" si="0"/>
        <v>insert into Manufacturing_Operation(Manufacturing_Operation_ID, Operation_Description) values (5665, 'Handle welding');</v>
      </c>
    </row>
    <row r="12" spans="1:7" x14ac:dyDescent="0.45">
      <c r="A12">
        <v>5667</v>
      </c>
      <c r="B12" t="s">
        <v>65</v>
      </c>
      <c r="C12" t="s">
        <v>71</v>
      </c>
      <c r="G12" t="str">
        <f t="shared" si="0"/>
        <v>insert into Manufacturing_Operation(Manufacturing_Operation_ID, Operation_Description) values (5667, 'Lid polishing');</v>
      </c>
    </row>
    <row r="13" spans="1:7" x14ac:dyDescent="0.45">
      <c r="A13">
        <v>5669</v>
      </c>
      <c r="B13" t="s">
        <v>66</v>
      </c>
      <c r="C13" t="s">
        <v>71</v>
      </c>
      <c r="G13" t="str">
        <f t="shared" si="0"/>
        <v>insert into Manufacturing_Operation(Manufacturing_Operation_ID, Operation_Description) values (5669, 'Pot base polishing');</v>
      </c>
    </row>
    <row r="14" spans="1:7" x14ac:dyDescent="0.45">
      <c r="A14">
        <v>5671</v>
      </c>
      <c r="B14" t="s">
        <v>67</v>
      </c>
      <c r="C14" t="s">
        <v>70</v>
      </c>
      <c r="G14" t="str">
        <f t="shared" si="0"/>
        <v>insert into Manufacturing_Operation(Manufacturing_Operation_ID, Operation_Description) values (5671, 'Teflon painting');</v>
      </c>
    </row>
    <row r="15" spans="1:7" x14ac:dyDescent="0.45">
      <c r="A15">
        <v>5681</v>
      </c>
      <c r="B15" t="s">
        <v>168</v>
      </c>
      <c r="C15" t="s">
        <v>40</v>
      </c>
      <c r="D15" t="s">
        <v>42</v>
      </c>
      <c r="G15" t="str">
        <f t="shared" si="0"/>
        <v>insert into Manufacturing_Operation(Manufacturing_Operation_ID, Operation_Description) values (5681, 'Initial pan base pressing');</v>
      </c>
    </row>
    <row r="16" spans="1:7" x14ac:dyDescent="0.45">
      <c r="A16">
        <v>5682</v>
      </c>
      <c r="B16" t="s">
        <v>169</v>
      </c>
      <c r="C16" t="s">
        <v>40</v>
      </c>
      <c r="D16" t="s">
        <v>42</v>
      </c>
      <c r="G16" t="str">
        <f t="shared" si="0"/>
        <v>insert into Manufacturing_Operation(Manufacturing_Operation_ID, Operation_Description) values (5682, 'Final pan base pressing');</v>
      </c>
    </row>
    <row r="17" spans="1:7" x14ac:dyDescent="0.45">
      <c r="A17">
        <v>5683</v>
      </c>
      <c r="B17" t="s">
        <v>170</v>
      </c>
      <c r="C17" t="s">
        <v>61</v>
      </c>
      <c r="G17" t="str">
        <f t="shared" si="0"/>
        <v>insert into Manufacturing_Operation(Manufacturing_Operation_ID, Operation_Description) values (5683, 'Pan base finishing');</v>
      </c>
    </row>
    <row r="18" spans="1:7" x14ac:dyDescent="0.45">
      <c r="A18">
        <v>5665</v>
      </c>
      <c r="B18" t="s">
        <v>64</v>
      </c>
      <c r="C18" t="s">
        <v>63</v>
      </c>
      <c r="G18" t="str">
        <f t="shared" si="0"/>
        <v>insert into Manufacturing_Operation(Manufacturing_Operation_ID, Operation_Description) values (5665, 'Handle welding');</v>
      </c>
    </row>
    <row r="19" spans="1:7" x14ac:dyDescent="0.45">
      <c r="A19">
        <v>5688</v>
      </c>
      <c r="B19" t="s">
        <v>171</v>
      </c>
      <c r="C19" t="s">
        <v>60</v>
      </c>
      <c r="G19" t="str">
        <f t="shared" si="0"/>
        <v>insert into Manufacturing_Operation(Manufacturing_Operation_ID, Operation_Description) values (5688, 'Pan test and packaging');</v>
      </c>
    </row>
    <row r="23" spans="1:7" x14ac:dyDescent="0.45">
      <c r="B23" t="s">
        <v>174</v>
      </c>
    </row>
    <row r="24" spans="1:7" x14ac:dyDescent="0.45">
      <c r="B24" t="s">
        <v>175</v>
      </c>
    </row>
    <row r="25" spans="1:7" x14ac:dyDescent="0.45">
      <c r="B25" t="s">
        <v>176</v>
      </c>
    </row>
    <row r="26" spans="1:7" x14ac:dyDescent="0.45">
      <c r="B26" t="s">
        <v>177</v>
      </c>
    </row>
    <row r="27" spans="1:7" x14ac:dyDescent="0.45">
      <c r="B27" t="s">
        <v>178</v>
      </c>
    </row>
    <row r="28" spans="1:7" x14ac:dyDescent="0.45">
      <c r="B28" t="s">
        <v>179</v>
      </c>
    </row>
    <row r="29" spans="1:7" x14ac:dyDescent="0.45">
      <c r="B29" t="s">
        <v>180</v>
      </c>
    </row>
    <row r="30" spans="1:7" x14ac:dyDescent="0.45">
      <c r="B30" t="s">
        <v>181</v>
      </c>
    </row>
    <row r="31" spans="1:7" x14ac:dyDescent="0.45">
      <c r="B31" t="s">
        <v>182</v>
      </c>
    </row>
    <row r="32" spans="1:7" x14ac:dyDescent="0.45">
      <c r="B32" t="s">
        <v>183</v>
      </c>
    </row>
    <row r="33" spans="2:2" x14ac:dyDescent="0.45">
      <c r="B33" t="s">
        <v>184</v>
      </c>
    </row>
    <row r="34" spans="2:2" x14ac:dyDescent="0.45">
      <c r="B34" t="s">
        <v>185</v>
      </c>
    </row>
    <row r="35" spans="2:2" x14ac:dyDescent="0.45">
      <c r="B35" t="s">
        <v>186</v>
      </c>
    </row>
    <row r="36" spans="2:2" x14ac:dyDescent="0.45">
      <c r="B36" t="s">
        <v>187</v>
      </c>
    </row>
    <row r="37" spans="2:2" x14ac:dyDescent="0.45">
      <c r="B37" t="s">
        <v>188</v>
      </c>
    </row>
    <row r="38" spans="2:2" x14ac:dyDescent="0.45">
      <c r="B38" t="s">
        <v>189</v>
      </c>
    </row>
    <row r="39" spans="2:2" x14ac:dyDescent="0.45">
      <c r="B39" t="s">
        <v>190</v>
      </c>
    </row>
    <row r="40" spans="2:2" x14ac:dyDescent="0.45">
      <c r="B40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0435-19DE-4DF5-9218-C7C340215B5E}">
  <dimension ref="A1:F14"/>
  <sheetViews>
    <sheetView workbookViewId="0">
      <selection activeCell="P13" sqref="P13"/>
    </sheetView>
  </sheetViews>
  <sheetFormatPr defaultRowHeight="14.25" x14ac:dyDescent="0.45"/>
  <cols>
    <col min="1" max="1" width="14.53125" customWidth="1"/>
    <col min="2" max="2" width="27.06640625" bestFit="1" customWidth="1"/>
  </cols>
  <sheetData>
    <row r="1" spans="1:6" x14ac:dyDescent="0.45">
      <c r="A1" t="s">
        <v>35</v>
      </c>
      <c r="B1" t="s">
        <v>0</v>
      </c>
    </row>
    <row r="2" spans="1:6" x14ac:dyDescent="0.45">
      <c r="A2" t="s">
        <v>33</v>
      </c>
      <c r="B2" t="s">
        <v>32</v>
      </c>
      <c r="F2" t="str">
        <f>_xlfn.CONCAT("insert into Workstation_Type(Workstation_Type_ID, Workstation_Type) values ('",A2,"', '",B2,"');")</f>
        <v>insert into Workstation_Type(Workstation_Type_ID, Workstation_Type) values ('A4578', '600t cold forging stamping press');</v>
      </c>
    </row>
    <row r="3" spans="1:6" x14ac:dyDescent="0.45">
      <c r="A3" t="s">
        <v>40</v>
      </c>
      <c r="B3" t="s">
        <v>41</v>
      </c>
      <c r="F3" t="str">
        <f t="shared" ref="F3:F14" si="0">_xlfn.CONCAT("insert into Workstation_Type(Workstation_Type_ID, Workstation_Type) values ('",A3,"', '",B3,"');")</f>
        <v>insert into Workstation_Type(Workstation_Type_ID, Workstation_Type) values ('A4588', '600t cold forging precision stamping press');</v>
      </c>
    </row>
    <row r="4" spans="1:6" x14ac:dyDescent="0.45">
      <c r="A4" t="s">
        <v>42</v>
      </c>
      <c r="B4" t="s">
        <v>43</v>
      </c>
      <c r="F4" t="str">
        <f t="shared" si="0"/>
        <v>insert into Workstation_Type(Workstation_Type_ID, Workstation_Type) values ('A4598', '1000t cold forging precision stamping press');</v>
      </c>
    </row>
    <row r="5" spans="1:6" x14ac:dyDescent="0.45">
      <c r="A5" t="s">
        <v>48</v>
      </c>
      <c r="B5" t="s">
        <v>57</v>
      </c>
      <c r="F5" t="str">
        <f t="shared" si="0"/>
        <v>insert into Workstation_Type(Workstation_Type_ID, Workstation_Type) values ('S3271', 'Handle rivet');</v>
      </c>
    </row>
    <row r="6" spans="1:6" x14ac:dyDescent="0.45">
      <c r="A6" t="s">
        <v>60</v>
      </c>
      <c r="B6" t="s">
        <v>58</v>
      </c>
      <c r="F6" t="str">
        <f t="shared" si="0"/>
        <v>insert into Workstation_Type(Workstation_Type_ID, Workstation_Type) values ('K3675', 'Packaging');</v>
      </c>
    </row>
    <row r="7" spans="1:6" x14ac:dyDescent="0.45">
      <c r="A7" t="s">
        <v>106</v>
      </c>
      <c r="B7" t="s">
        <v>107</v>
      </c>
      <c r="F7" t="str">
        <f t="shared" si="0"/>
        <v>insert into Workstation_Type(Workstation_Type_ID, Workstation_Type) values ('K3676', 'Packaging for large itens');</v>
      </c>
    </row>
    <row r="8" spans="1:6" x14ac:dyDescent="0.45">
      <c r="A8" t="s">
        <v>61</v>
      </c>
      <c r="B8" t="s">
        <v>59</v>
      </c>
      <c r="F8" t="str">
        <f t="shared" si="0"/>
        <v>insert into Workstation_Type(Workstation_Type_ID, Workstation_Type) values ('C5637', 'Border trimming');</v>
      </c>
    </row>
    <row r="9" spans="1:6" x14ac:dyDescent="0.45">
      <c r="A9" t="s">
        <v>63</v>
      </c>
      <c r="B9" t="s">
        <v>62</v>
      </c>
      <c r="F9" t="str">
        <f t="shared" si="0"/>
        <v>insert into Workstation_Type(Workstation_Type_ID, Workstation_Type) values ('D9123', 'Spot welding');</v>
      </c>
    </row>
    <row r="10" spans="1:6" x14ac:dyDescent="0.45">
      <c r="A10" t="s">
        <v>70</v>
      </c>
      <c r="B10" t="s">
        <v>68</v>
      </c>
      <c r="F10" t="str">
        <f t="shared" si="0"/>
        <v>insert into Workstation_Type(Workstation_Type_ID, Workstation_Type) values ('Q5478', 'Teflon application station');</v>
      </c>
    </row>
    <row r="11" spans="1:6" x14ac:dyDescent="0.45">
      <c r="A11" t="s">
        <v>71</v>
      </c>
      <c r="B11" t="s">
        <v>69</v>
      </c>
      <c r="F11" t="str">
        <f t="shared" si="0"/>
        <v>insert into Workstation_Type(Workstation_Type_ID, Workstation_Type) values ('Q3547', 'Stainless steel polishing');</v>
      </c>
    </row>
    <row r="12" spans="1:6" x14ac:dyDescent="0.45">
      <c r="A12" t="s">
        <v>85</v>
      </c>
      <c r="B12" t="s">
        <v>84</v>
      </c>
      <c r="F12" t="str">
        <f t="shared" si="0"/>
        <v>insert into Workstation_Type(Workstation_Type_ID, Workstation_Type) values ('T3452', 'Assembly T1');</v>
      </c>
    </row>
    <row r="13" spans="1:6" x14ac:dyDescent="0.45">
      <c r="A13" t="s">
        <v>112</v>
      </c>
      <c r="B13" t="s">
        <v>113</v>
      </c>
      <c r="F13" t="str">
        <f t="shared" si="0"/>
        <v>insert into Workstation_Type(Workstation_Type_ID, Workstation_Type) values ('G9273', 'Circular glass cutting');</v>
      </c>
    </row>
    <row r="14" spans="1:6" x14ac:dyDescent="0.45">
      <c r="A14" t="s">
        <v>114</v>
      </c>
      <c r="B14" t="s">
        <v>115</v>
      </c>
      <c r="F14" t="str">
        <f t="shared" si="0"/>
        <v>insert into Workstation_Type(Workstation_Type_ID, Workstation_Type) values ('G9274', 'Glass trimming');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112-BCDE-455B-843A-6C293EDE0CEE}">
  <dimension ref="A1:F22"/>
  <sheetViews>
    <sheetView topLeftCell="D1" workbookViewId="0">
      <selection activeCell="F2" sqref="F2:F22"/>
    </sheetView>
  </sheetViews>
  <sheetFormatPr defaultRowHeight="14.25" x14ac:dyDescent="0.45"/>
  <cols>
    <col min="3" max="3" width="14.265625" customWidth="1"/>
    <col min="4" max="4" width="30.46484375" bestFit="1" customWidth="1"/>
  </cols>
  <sheetData>
    <row r="1" spans="1:6" x14ac:dyDescent="0.45">
      <c r="A1" t="s">
        <v>34</v>
      </c>
      <c r="B1" t="s">
        <v>35</v>
      </c>
      <c r="C1" t="s">
        <v>0</v>
      </c>
      <c r="D1" t="s">
        <v>19</v>
      </c>
    </row>
    <row r="2" spans="1:6" x14ac:dyDescent="0.45">
      <c r="A2">
        <v>9875</v>
      </c>
      <c r="B2" t="s">
        <v>33</v>
      </c>
      <c r="C2" t="s">
        <v>36</v>
      </c>
      <c r="D2" t="s">
        <v>46</v>
      </c>
      <c r="F2" t="str">
        <f>_xlfn.CONCAT("insert into Workstation(Workstation_ID, Workstation_Name, Workstation_Description, Plant_Floor_ID, Workstation_Type_ID) values (",A2,", '",C2,"', '",D2,"', 1, '",B2,"');")</f>
        <v>insert into Workstation(Workstation_ID, Workstation_Name, Workstation_Description, Plant_Floor_ID, Workstation_Type_ID) values (9875, 'Press 01', '220-630t cold forging press', 1, 'A4578');</v>
      </c>
    </row>
    <row r="3" spans="1:6" x14ac:dyDescent="0.45">
      <c r="A3">
        <v>9886</v>
      </c>
      <c r="B3" t="s">
        <v>33</v>
      </c>
      <c r="C3" t="s">
        <v>38</v>
      </c>
      <c r="D3" t="s">
        <v>46</v>
      </c>
      <c r="F3" t="str">
        <f t="shared" ref="F3:F22" si="0">_xlfn.CONCAT("insert into Workstation(Workstation_ID, Workstation_Name, Workstation_Description, Plant_Floor_ID, Workstation_Type_ID) values (",A3,", '",C3,"', '",D3,"', 1, '",B3,"');")</f>
        <v>insert into Workstation(Workstation_ID, Workstation_Name, Workstation_Description, Plant_Floor_ID, Workstation_Type_ID) values (9886, 'Press 02', '220-630t cold forging press', 1, 'A4578');</v>
      </c>
    </row>
    <row r="4" spans="1:6" x14ac:dyDescent="0.45">
      <c r="A4">
        <v>9847</v>
      </c>
      <c r="B4" t="s">
        <v>40</v>
      </c>
      <c r="C4" t="s">
        <v>39</v>
      </c>
      <c r="D4" t="s">
        <v>37</v>
      </c>
      <c r="F4" t="str">
        <f t="shared" si="0"/>
        <v>insert into Workstation(Workstation_ID, Workstation_Name, Workstation_Description, Plant_Floor_ID, Workstation_Type_ID) values (9847, 'Press 03', '220-630t precision cold forging press', 1, 'A4588');</v>
      </c>
    </row>
    <row r="5" spans="1:6" x14ac:dyDescent="0.45">
      <c r="A5">
        <v>9855</v>
      </c>
      <c r="B5" t="s">
        <v>40</v>
      </c>
      <c r="C5" t="s">
        <v>44</v>
      </c>
      <c r="D5" t="s">
        <v>45</v>
      </c>
      <c r="F5" t="str">
        <f t="shared" si="0"/>
        <v>insert into Workstation(Workstation_ID, Workstation_Name, Workstation_Description, Plant_Floor_ID, Workstation_Type_ID) values (9855, 'Press 04', '160-1000t precison cold forging press', 1, 'A4588');</v>
      </c>
    </row>
    <row r="6" spans="1:6" x14ac:dyDescent="0.45">
      <c r="A6">
        <v>8541</v>
      </c>
      <c r="B6" t="s">
        <v>48</v>
      </c>
      <c r="C6" t="s">
        <v>74</v>
      </c>
      <c r="D6" t="s">
        <v>47</v>
      </c>
      <c r="F6" t="str">
        <f t="shared" si="0"/>
        <v>insert into Workstation(Workstation_ID, Workstation_Name, Workstation_Description, Plant_Floor_ID, Workstation_Type_ID) values (8541, 'Rivet 02', 'Rivet station', 1, 'S3271');</v>
      </c>
    </row>
    <row r="7" spans="1:6" x14ac:dyDescent="0.45">
      <c r="A7">
        <v>8543</v>
      </c>
      <c r="B7" t="s">
        <v>48</v>
      </c>
      <c r="C7" t="s">
        <v>75</v>
      </c>
      <c r="D7" t="s">
        <v>47</v>
      </c>
      <c r="F7" t="str">
        <f t="shared" si="0"/>
        <v>insert into Workstation(Workstation_ID, Workstation_Name, Workstation_Description, Plant_Floor_ID, Workstation_Type_ID) values (8543, 'Rivet 03', 'Rivet station', 1, 'S3271');</v>
      </c>
    </row>
    <row r="8" spans="1:6" x14ac:dyDescent="0.45">
      <c r="A8">
        <v>6814</v>
      </c>
      <c r="B8" t="s">
        <v>60</v>
      </c>
      <c r="C8" t="s">
        <v>100</v>
      </c>
      <c r="D8" t="s">
        <v>105</v>
      </c>
      <c r="F8" t="str">
        <f t="shared" si="0"/>
        <v>insert into Workstation(Workstation_ID, Workstation_Name, Workstation_Description, Plant_Floor_ID, Workstation_Type_ID) values (6814, 'Packaging 01', 'Packaging station', 1, 'K3675');</v>
      </c>
    </row>
    <row r="9" spans="1:6" x14ac:dyDescent="0.45">
      <c r="A9">
        <v>6815</v>
      </c>
      <c r="B9" t="s">
        <v>60</v>
      </c>
      <c r="C9" t="s">
        <v>101</v>
      </c>
      <c r="D9" t="s">
        <v>105</v>
      </c>
      <c r="F9" t="str">
        <f t="shared" si="0"/>
        <v>insert into Workstation(Workstation_ID, Workstation_Name, Workstation_Description, Plant_Floor_ID, Workstation_Type_ID) values (6815, 'Packaging 02', 'Packaging station', 1, 'K3675');</v>
      </c>
    </row>
    <row r="10" spans="1:6" x14ac:dyDescent="0.45">
      <c r="A10">
        <v>6816</v>
      </c>
      <c r="B10" t="s">
        <v>60</v>
      </c>
      <c r="C10" t="s">
        <v>102</v>
      </c>
      <c r="D10" t="s">
        <v>105</v>
      </c>
      <c r="F10" t="str">
        <f t="shared" si="0"/>
        <v>insert into Workstation(Workstation_ID, Workstation_Name, Workstation_Description, Plant_Floor_ID, Workstation_Type_ID) values (6816, 'Packaging 03', 'Packaging station', 1, 'K3675');</v>
      </c>
    </row>
    <row r="11" spans="1:6" x14ac:dyDescent="0.45">
      <c r="A11">
        <v>6821</v>
      </c>
      <c r="B11" t="s">
        <v>60</v>
      </c>
      <c r="C11" t="s">
        <v>103</v>
      </c>
      <c r="D11" t="s">
        <v>105</v>
      </c>
      <c r="F11" t="str">
        <f t="shared" si="0"/>
        <v>insert into Workstation(Workstation_ID, Workstation_Name, Workstation_Description, Plant_Floor_ID, Workstation_Type_ID) values (6821, 'Packaging 04', 'Packaging station', 1, 'K3675');</v>
      </c>
    </row>
    <row r="12" spans="1:6" x14ac:dyDescent="0.45">
      <c r="A12">
        <v>6822</v>
      </c>
      <c r="B12" t="s">
        <v>106</v>
      </c>
      <c r="C12" t="s">
        <v>104</v>
      </c>
      <c r="D12" t="s">
        <v>105</v>
      </c>
      <c r="F12" t="str">
        <f t="shared" si="0"/>
        <v>insert into Workstation(Workstation_ID, Workstation_Name, Workstation_Description, Plant_Floor_ID, Workstation_Type_ID) values (6822, 'Packaging 05', 'Packaging station', 1, 'K3676');</v>
      </c>
    </row>
    <row r="13" spans="1:6" x14ac:dyDescent="0.45">
      <c r="A13">
        <v>8167</v>
      </c>
      <c r="B13" t="s">
        <v>63</v>
      </c>
      <c r="C13" t="s">
        <v>108</v>
      </c>
      <c r="D13" t="s">
        <v>111</v>
      </c>
      <c r="F13" t="str">
        <f t="shared" si="0"/>
        <v>insert into Workstation(Workstation_ID, Workstation_Name, Workstation_Description, Plant_Floor_ID, Workstation_Type_ID) values (8167, 'Welding 01', 'Spot welding staion', 1, 'D9123');</v>
      </c>
    </row>
    <row r="14" spans="1:6" x14ac:dyDescent="0.45">
      <c r="A14">
        <v>8170</v>
      </c>
      <c r="B14" t="s">
        <v>63</v>
      </c>
      <c r="C14" t="s">
        <v>109</v>
      </c>
      <c r="D14" t="s">
        <v>111</v>
      </c>
      <c r="F14" t="str">
        <f t="shared" si="0"/>
        <v>insert into Workstation(Workstation_ID, Workstation_Name, Workstation_Description, Plant_Floor_ID, Workstation_Type_ID) values (8170, 'Welding 02', 'Spot welding staion', 1, 'D9123');</v>
      </c>
    </row>
    <row r="15" spans="1:6" x14ac:dyDescent="0.45">
      <c r="A15">
        <v>8171</v>
      </c>
      <c r="B15" t="s">
        <v>63</v>
      </c>
      <c r="C15" t="s">
        <v>110</v>
      </c>
      <c r="D15" t="s">
        <v>111</v>
      </c>
      <c r="F15" t="str">
        <f t="shared" si="0"/>
        <v>insert into Workstation(Workstation_ID, Workstation_Name, Workstation_Description, Plant_Floor_ID, Workstation_Type_ID) values (8171, 'Welding 03', 'Spot welding staion', 1, 'D9123');</v>
      </c>
    </row>
    <row r="16" spans="1:6" x14ac:dyDescent="0.45">
      <c r="A16">
        <v>7235</v>
      </c>
      <c r="B16" t="s">
        <v>85</v>
      </c>
      <c r="C16" t="s">
        <v>116</v>
      </c>
      <c r="D16" t="s">
        <v>119</v>
      </c>
      <c r="F16" t="str">
        <f t="shared" si="0"/>
        <v>insert into Workstation(Workstation_ID, Workstation_Name, Workstation_Description, Plant_Floor_ID, Workstation_Type_ID) values (7235, 'Assembly 01', 'Product assembly station', 1, 'T3452');</v>
      </c>
    </row>
    <row r="17" spans="1:6" x14ac:dyDescent="0.45">
      <c r="A17">
        <v>7236</v>
      </c>
      <c r="B17" t="s">
        <v>85</v>
      </c>
      <c r="C17" t="s">
        <v>117</v>
      </c>
      <c r="D17" t="s">
        <v>119</v>
      </c>
      <c r="F17" t="str">
        <f t="shared" si="0"/>
        <v>insert into Workstation(Workstation_ID, Workstation_Name, Workstation_Description, Plant_Floor_ID, Workstation_Type_ID) values (7236, 'Assembly 02', 'Product assembly station', 1, 'T3452');</v>
      </c>
    </row>
    <row r="18" spans="1:6" x14ac:dyDescent="0.45">
      <c r="A18">
        <v>7238</v>
      </c>
      <c r="B18" t="s">
        <v>85</v>
      </c>
      <c r="C18" t="s">
        <v>118</v>
      </c>
      <c r="D18" t="s">
        <v>119</v>
      </c>
      <c r="F18" t="str">
        <f t="shared" si="0"/>
        <v>insert into Workstation(Workstation_ID, Workstation_Name, Workstation_Description, Plant_Floor_ID, Workstation_Type_ID) values (7238, 'Assembly 03', 'Product assembly station', 1, 'T3452');</v>
      </c>
    </row>
    <row r="19" spans="1:6" x14ac:dyDescent="0.45">
      <c r="A19">
        <v>5124</v>
      </c>
      <c r="B19" t="s">
        <v>61</v>
      </c>
      <c r="C19" t="s">
        <v>120</v>
      </c>
      <c r="D19" t="s">
        <v>121</v>
      </c>
      <c r="F19" t="str">
        <f t="shared" si="0"/>
        <v>insert into Workstation(Workstation_ID, Workstation_Name, Workstation_Description, Plant_Floor_ID, Workstation_Type_ID) values (5124, 'Trimming 01', 'Metal trimming station', 1, 'C5637');</v>
      </c>
    </row>
    <row r="20" spans="1:6" x14ac:dyDescent="0.45">
      <c r="A20">
        <v>4123</v>
      </c>
      <c r="B20" t="s">
        <v>71</v>
      </c>
      <c r="C20" t="s">
        <v>122</v>
      </c>
      <c r="D20" t="s">
        <v>125</v>
      </c>
      <c r="F20" t="str">
        <f t="shared" si="0"/>
        <v>insert into Workstation(Workstation_ID, Workstation_Name, Workstation_Description, Plant_Floor_ID, Workstation_Type_ID) values (4123, 'Polishing 01', 'Metal polishing station', 1, 'Q3547');</v>
      </c>
    </row>
    <row r="21" spans="1:6" x14ac:dyDescent="0.45">
      <c r="A21">
        <v>4124</v>
      </c>
      <c r="B21" t="s">
        <v>71</v>
      </c>
      <c r="C21" t="s">
        <v>123</v>
      </c>
      <c r="D21" t="s">
        <v>125</v>
      </c>
      <c r="F21" t="str">
        <f t="shared" si="0"/>
        <v>insert into Workstation(Workstation_ID, Workstation_Name, Workstation_Description, Plant_Floor_ID, Workstation_Type_ID) values (4124, 'Polishing 02', 'Metal polishing station', 1, 'Q3547');</v>
      </c>
    </row>
    <row r="22" spans="1:6" x14ac:dyDescent="0.45">
      <c r="A22">
        <v>4125</v>
      </c>
      <c r="B22" t="s">
        <v>71</v>
      </c>
      <c r="C22" t="s">
        <v>124</v>
      </c>
      <c r="D22" t="s">
        <v>125</v>
      </c>
      <c r="F22" t="str">
        <f t="shared" si="0"/>
        <v>insert into Workstation(Workstation_ID, Workstation_Name, Workstation_Description, Plant_Floor_ID, Workstation_Type_ID) values (4125, 'Polishing 03', 'Metal polishing station', 1, 'Q3547');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3A-319E-497B-BBC6-9FC6F2F78F3D}">
  <dimension ref="A1:D66"/>
  <sheetViews>
    <sheetView workbookViewId="0">
      <selection activeCell="I55" sqref="I55"/>
    </sheetView>
  </sheetViews>
  <sheetFormatPr defaultRowHeight="14.25" x14ac:dyDescent="0.45"/>
  <cols>
    <col min="1" max="1" width="14.19921875" customWidth="1"/>
    <col min="2" max="2" width="17.73046875" customWidth="1"/>
    <col min="3" max="3" width="32.9296875" bestFit="1" customWidth="1"/>
  </cols>
  <sheetData>
    <row r="1" spans="1:4" x14ac:dyDescent="0.45">
      <c r="A1" t="s">
        <v>72</v>
      </c>
      <c r="B1" t="s">
        <v>76</v>
      </c>
      <c r="C1" t="s">
        <v>19</v>
      </c>
      <c r="D1" t="s">
        <v>89</v>
      </c>
    </row>
    <row r="2" spans="1:4" x14ac:dyDescent="0.45">
      <c r="A2" t="s">
        <v>23</v>
      </c>
      <c r="B2" t="s">
        <v>87</v>
      </c>
      <c r="C2" t="s">
        <v>88</v>
      </c>
      <c r="D2">
        <v>1</v>
      </c>
    </row>
    <row r="3" spans="1:4" x14ac:dyDescent="0.45">
      <c r="A3" t="s">
        <v>23</v>
      </c>
      <c r="B3" t="s">
        <v>94</v>
      </c>
      <c r="C3" t="s">
        <v>90</v>
      </c>
      <c r="D3">
        <v>1</v>
      </c>
    </row>
    <row r="4" spans="1:4" x14ac:dyDescent="0.45">
      <c r="A4" t="s">
        <v>23</v>
      </c>
      <c r="B4" t="s">
        <v>95</v>
      </c>
      <c r="C4" t="s">
        <v>91</v>
      </c>
      <c r="D4">
        <v>1</v>
      </c>
    </row>
    <row r="5" spans="1:4" x14ac:dyDescent="0.45">
      <c r="A5" t="s">
        <v>23</v>
      </c>
      <c r="B5" t="s">
        <v>92</v>
      </c>
      <c r="C5" t="s">
        <v>93</v>
      </c>
      <c r="D5">
        <v>4</v>
      </c>
    </row>
    <row r="6" spans="1:4" x14ac:dyDescent="0.45">
      <c r="A6" t="s">
        <v>23</v>
      </c>
      <c r="B6" t="s">
        <v>96</v>
      </c>
      <c r="C6" t="s">
        <v>99</v>
      </c>
      <c r="D6">
        <v>2</v>
      </c>
    </row>
    <row r="7" spans="1:4" x14ac:dyDescent="0.45">
      <c r="A7" t="s">
        <v>23</v>
      </c>
      <c r="B7" t="s">
        <v>97</v>
      </c>
      <c r="C7" t="s">
        <v>98</v>
      </c>
      <c r="D7">
        <v>1</v>
      </c>
    </row>
    <row r="8" spans="1:4" x14ac:dyDescent="0.45">
      <c r="A8" t="s">
        <v>25</v>
      </c>
      <c r="B8" t="s">
        <v>87</v>
      </c>
      <c r="C8" t="s">
        <v>88</v>
      </c>
      <c r="D8">
        <v>1</v>
      </c>
    </row>
    <row r="9" spans="1:4" x14ac:dyDescent="0.45">
      <c r="A9" t="s">
        <v>25</v>
      </c>
      <c r="B9" t="s">
        <v>94</v>
      </c>
      <c r="C9" t="s">
        <v>90</v>
      </c>
      <c r="D9">
        <v>1</v>
      </c>
    </row>
    <row r="10" spans="1:4" x14ac:dyDescent="0.45">
      <c r="A10" t="s">
        <v>25</v>
      </c>
      <c r="B10" t="s">
        <v>95</v>
      </c>
      <c r="C10" t="s">
        <v>91</v>
      </c>
      <c r="D10">
        <v>1</v>
      </c>
    </row>
    <row r="11" spans="1:4" x14ac:dyDescent="0.45">
      <c r="A11" t="s">
        <v>25</v>
      </c>
      <c r="B11" t="s">
        <v>92</v>
      </c>
      <c r="C11" t="s">
        <v>93</v>
      </c>
      <c r="D11">
        <v>4</v>
      </c>
    </row>
    <row r="12" spans="1:4" x14ac:dyDescent="0.45">
      <c r="A12" t="s">
        <v>25</v>
      </c>
      <c r="B12" t="s">
        <v>96</v>
      </c>
      <c r="C12" t="s">
        <v>99</v>
      </c>
      <c r="D12">
        <v>2</v>
      </c>
    </row>
    <row r="13" spans="1:4" x14ac:dyDescent="0.45">
      <c r="A13" t="s">
        <v>25</v>
      </c>
      <c r="B13" t="s">
        <v>143</v>
      </c>
      <c r="C13" t="s">
        <v>142</v>
      </c>
      <c r="D13">
        <v>1</v>
      </c>
    </row>
    <row r="14" spans="1:4" x14ac:dyDescent="0.45">
      <c r="A14" t="s">
        <v>28</v>
      </c>
      <c r="B14" t="s">
        <v>87</v>
      </c>
      <c r="C14" t="s">
        <v>88</v>
      </c>
      <c r="D14">
        <v>1</v>
      </c>
    </row>
    <row r="15" spans="1:4" x14ac:dyDescent="0.45">
      <c r="A15" t="s">
        <v>28</v>
      </c>
      <c r="B15" t="s">
        <v>159</v>
      </c>
      <c r="C15" t="s">
        <v>162</v>
      </c>
      <c r="D15">
        <v>1</v>
      </c>
    </row>
    <row r="16" spans="1:4" x14ac:dyDescent="0.45">
      <c r="A16" t="s">
        <v>28</v>
      </c>
      <c r="B16" t="s">
        <v>160</v>
      </c>
      <c r="C16" t="s">
        <v>161</v>
      </c>
      <c r="D16">
        <v>1</v>
      </c>
    </row>
    <row r="17" spans="1:4" x14ac:dyDescent="0.45">
      <c r="A17" t="s">
        <v>28</v>
      </c>
      <c r="B17" t="s">
        <v>92</v>
      </c>
      <c r="C17" t="s">
        <v>93</v>
      </c>
      <c r="D17">
        <v>4</v>
      </c>
    </row>
    <row r="18" spans="1:4" x14ac:dyDescent="0.45">
      <c r="A18" t="s">
        <v>28</v>
      </c>
      <c r="B18" t="s">
        <v>96</v>
      </c>
      <c r="C18" t="s">
        <v>99</v>
      </c>
      <c r="D18">
        <v>2</v>
      </c>
    </row>
    <row r="19" spans="1:4" x14ac:dyDescent="0.45">
      <c r="A19" t="s">
        <v>28</v>
      </c>
      <c r="B19" t="s">
        <v>143</v>
      </c>
      <c r="C19" t="s">
        <v>142</v>
      </c>
      <c r="D19">
        <v>1</v>
      </c>
    </row>
    <row r="20" spans="1:4" x14ac:dyDescent="0.45">
      <c r="A20" t="s">
        <v>158</v>
      </c>
      <c r="B20" t="s">
        <v>159</v>
      </c>
      <c r="C20" t="s">
        <v>162</v>
      </c>
      <c r="D20">
        <v>1</v>
      </c>
    </row>
    <row r="21" spans="1:4" x14ac:dyDescent="0.45">
      <c r="A21" t="s">
        <v>158</v>
      </c>
      <c r="B21" t="s">
        <v>172</v>
      </c>
      <c r="C21" t="s">
        <v>173</v>
      </c>
      <c r="D21">
        <v>1</v>
      </c>
    </row>
    <row r="24" spans="1:4" x14ac:dyDescent="0.45">
      <c r="B24" t="str">
        <f>_xlfn.CONCAT("insert into Component(Component_ID, Component_Description) values ('",B2,"', '",C2,"');")</f>
        <v>insert into Component(Component_ID, Component_Description) values ('PN12344A21', 'Screw M6 35 mm');</v>
      </c>
    </row>
    <row r="25" spans="1:4" x14ac:dyDescent="0.45">
      <c r="B25" t="str">
        <f t="shared" ref="B25:B43" si="0">_xlfn.CONCAT("insert into Component(Component_ID, Component_Description) values ('",B3,"', '",C3,"');")</f>
        <v>insert into Component(Component_ID, Component_Description) values ('PN52384R50', '300x300 mm 5mm stainless steel sheet');</v>
      </c>
    </row>
    <row r="26" spans="1:4" x14ac:dyDescent="0.45">
      <c r="B26" t="str">
        <f t="shared" si="0"/>
        <v>insert into Component(Component_ID, Component_Description) values ('PN52384R10', '300x300 mm 1mm stainless steel sheet');</v>
      </c>
    </row>
    <row r="27" spans="1:4" x14ac:dyDescent="0.45">
      <c r="B27" t="str">
        <f t="shared" si="0"/>
        <v>insert into Component(Component_ID, Component_Description) values ('PN18544A21', 'Rivet 6 mm');</v>
      </c>
    </row>
    <row r="28" spans="1:4" x14ac:dyDescent="0.45">
      <c r="B28" t="str">
        <f t="shared" si="0"/>
        <v>insert into Component(Component_ID, Component_Description) values ('PN18544C21', 'Stainless steel handle model U6');</v>
      </c>
    </row>
    <row r="29" spans="1:4" x14ac:dyDescent="0.45">
      <c r="B29" t="str">
        <f t="shared" si="0"/>
        <v>insert into Component(Component_ID, Component_Description) values ('PN18324C54', 'Stainless steel handle model R12');</v>
      </c>
    </row>
    <row r="30" spans="1:4" x14ac:dyDescent="0.45">
      <c r="B30" t="str">
        <f t="shared" si="0"/>
        <v>insert into Component(Component_ID, Component_Description) values ('PN12344A21', 'Screw M6 35 mm');</v>
      </c>
    </row>
    <row r="31" spans="1:4" x14ac:dyDescent="0.45">
      <c r="B31" t="str">
        <f t="shared" si="0"/>
        <v>insert into Component(Component_ID, Component_Description) values ('PN52384R50', '300x300 mm 5mm stainless steel sheet');</v>
      </c>
    </row>
    <row r="32" spans="1:4" x14ac:dyDescent="0.45">
      <c r="B32" t="str">
        <f t="shared" si="0"/>
        <v>insert into Component(Component_ID, Component_Description) values ('PN52384R10', '300x300 mm 1mm stainless steel sheet');</v>
      </c>
    </row>
    <row r="33" spans="2:2" x14ac:dyDescent="0.45">
      <c r="B33" t="str">
        <f t="shared" si="0"/>
        <v>insert into Component(Component_ID, Component_Description) values ('PN18544A21', 'Rivet 6 mm');</v>
      </c>
    </row>
    <row r="34" spans="2:2" x14ac:dyDescent="0.45">
      <c r="B34" t="str">
        <f t="shared" si="0"/>
        <v>insert into Component(Component_ID, Component_Description) values ('PN18544C21', 'Stainless steel handle model U6');</v>
      </c>
    </row>
    <row r="35" spans="2:2" x14ac:dyDescent="0.45">
      <c r="B35" t="str">
        <f t="shared" si="0"/>
        <v>insert into Component(Component_ID, Component_Description) values ('PN18324C51', 'Stainless steel handle model R11');</v>
      </c>
    </row>
    <row r="36" spans="2:2" x14ac:dyDescent="0.45">
      <c r="B36" t="str">
        <f t="shared" si="0"/>
        <v>insert into Component(Component_ID, Component_Description) values ('PN12344A21', 'Screw M6 35 mm');</v>
      </c>
    </row>
    <row r="37" spans="2:2" x14ac:dyDescent="0.45">
      <c r="B37" t="str">
        <f t="shared" si="0"/>
        <v>insert into Component(Component_ID, Component_Description) values ('PN52384R45', '250x250 mm 5mm stainless steel sheet');</v>
      </c>
    </row>
    <row r="38" spans="2:2" x14ac:dyDescent="0.45">
      <c r="B38" t="str">
        <f t="shared" si="0"/>
        <v>insert into Component(Component_ID, Component_Description) values ('PN52384R12', '250x250 mm 1mm stainless steel sheet');</v>
      </c>
    </row>
    <row r="39" spans="2:2" x14ac:dyDescent="0.45">
      <c r="B39" t="str">
        <f t="shared" si="0"/>
        <v>insert into Component(Component_ID, Component_Description) values ('PN18544A21', 'Rivet 6 mm');</v>
      </c>
    </row>
    <row r="40" spans="2:2" x14ac:dyDescent="0.45">
      <c r="B40" t="str">
        <f t="shared" si="0"/>
        <v>insert into Component(Component_ID, Component_Description) values ('PN18544C21', 'Stainless steel handle model U6');</v>
      </c>
    </row>
    <row r="41" spans="2:2" x14ac:dyDescent="0.45">
      <c r="B41" t="str">
        <f>_xlfn.CONCAT("insert into Component(Component_ID, Component_Description) values ('",B19,"', '",C19,"');")</f>
        <v>insert into Component(Component_ID, Component_Description) values ('PN18324C51', 'Stainless steel handle model R11');</v>
      </c>
    </row>
    <row r="42" spans="2:2" x14ac:dyDescent="0.45">
      <c r="B42" t="str">
        <f t="shared" si="0"/>
        <v>insert into Component(Component_ID, Component_Description) values ('PN52384R45', '250x250 mm 5mm stainless steel sheet');</v>
      </c>
    </row>
    <row r="43" spans="2:2" x14ac:dyDescent="0.45">
      <c r="B43" t="str">
        <f t="shared" si="0"/>
        <v>insert into Component(Component_ID, Component_Description) values ('PN18324C91', 'Stainless steel handle model S26');</v>
      </c>
    </row>
    <row r="47" spans="2:2" x14ac:dyDescent="0.45">
      <c r="B47" t="str">
        <f>_xlfn.CONCAT("insert into BOM(Product_ID, Component_ID, Component_Quantity) values ('",A2,"', '",B2,"', ",D2,");")</f>
        <v>insert into BOM(Product_ID, Component_ID, Component_Quantity) values ('AS12945S22', 'PN12344A21', 1);</v>
      </c>
    </row>
    <row r="48" spans="2:2" x14ac:dyDescent="0.45">
      <c r="B48" t="str">
        <f t="shared" ref="B48:B66" si="1">_xlfn.CONCAT("insert into BOM(Product_ID, Component_ID, Component_Quantity) values ('",A3,"', '",B3,"', ",D3,");")</f>
        <v>insert into BOM(Product_ID, Component_ID, Component_Quantity) values ('AS12945S22', 'PN52384R50', 1);</v>
      </c>
    </row>
    <row r="49" spans="2:2" x14ac:dyDescent="0.45">
      <c r="B49" t="str">
        <f t="shared" si="1"/>
        <v>insert into BOM(Product_ID, Component_ID, Component_Quantity) values ('AS12945S22', 'PN52384R10', 1);</v>
      </c>
    </row>
    <row r="50" spans="2:2" x14ac:dyDescent="0.45">
      <c r="B50" t="str">
        <f t="shared" si="1"/>
        <v>insert into BOM(Product_ID, Component_ID, Component_Quantity) values ('AS12945S22', 'PN18544A21', 4);</v>
      </c>
    </row>
    <row r="51" spans="2:2" x14ac:dyDescent="0.45">
      <c r="B51" t="str">
        <f t="shared" si="1"/>
        <v>insert into BOM(Product_ID, Component_ID, Component_Quantity) values ('AS12945S22', 'PN18544C21', 2);</v>
      </c>
    </row>
    <row r="52" spans="2:2" x14ac:dyDescent="0.45">
      <c r="B52" t="str">
        <f t="shared" si="1"/>
        <v>insert into BOM(Product_ID, Component_ID, Component_Quantity) values ('AS12945S22', 'PN18324C54', 1);</v>
      </c>
    </row>
    <row r="53" spans="2:2" x14ac:dyDescent="0.45">
      <c r="B53" t="str">
        <f t="shared" si="1"/>
        <v>insert into BOM(Product_ID, Component_ID, Component_Quantity) values ('AS12945S20', 'PN12344A21', 1);</v>
      </c>
    </row>
    <row r="54" spans="2:2" x14ac:dyDescent="0.45">
      <c r="B54" t="str">
        <f t="shared" si="1"/>
        <v>insert into BOM(Product_ID, Component_ID, Component_Quantity) values ('AS12945S20', 'PN52384R50', 1);</v>
      </c>
    </row>
    <row r="55" spans="2:2" x14ac:dyDescent="0.45">
      <c r="B55" t="str">
        <f t="shared" si="1"/>
        <v>insert into BOM(Product_ID, Component_ID, Component_Quantity) values ('AS12945S20', 'PN52384R10', 1);</v>
      </c>
    </row>
    <row r="56" spans="2:2" x14ac:dyDescent="0.45">
      <c r="B56" t="str">
        <f t="shared" si="1"/>
        <v>insert into BOM(Product_ID, Component_ID, Component_Quantity) values ('AS12945S20', 'PN18544A21', 4);</v>
      </c>
    </row>
    <row r="57" spans="2:2" x14ac:dyDescent="0.45">
      <c r="B57" t="str">
        <f t="shared" si="1"/>
        <v>insert into BOM(Product_ID, Component_ID, Component_Quantity) values ('AS12945S20', 'PN18544C21', 2);</v>
      </c>
    </row>
    <row r="58" spans="2:2" x14ac:dyDescent="0.45">
      <c r="B58" t="str">
        <f t="shared" si="1"/>
        <v>insert into BOM(Product_ID, Component_ID, Component_Quantity) values ('AS12945S20', 'PN18324C51', 1);</v>
      </c>
    </row>
    <row r="59" spans="2:2" x14ac:dyDescent="0.45">
      <c r="B59" t="str">
        <f t="shared" si="1"/>
        <v>insert into BOM(Product_ID, Component_ID, Component_Quantity) values ('AS12945S17', 'PN12344A21', 1);</v>
      </c>
    </row>
    <row r="60" spans="2:2" x14ac:dyDescent="0.45">
      <c r="B60" t="str">
        <f t="shared" si="1"/>
        <v>insert into BOM(Product_ID, Component_ID, Component_Quantity) values ('AS12945S17', 'PN52384R45', 1);</v>
      </c>
    </row>
    <row r="61" spans="2:2" x14ac:dyDescent="0.45">
      <c r="B61" t="str">
        <f t="shared" si="1"/>
        <v>insert into BOM(Product_ID, Component_ID, Component_Quantity) values ('AS12945S17', 'PN52384R12', 1);</v>
      </c>
    </row>
    <row r="62" spans="2:2" x14ac:dyDescent="0.45">
      <c r="B62" t="str">
        <f t="shared" si="1"/>
        <v>insert into BOM(Product_ID, Component_ID, Component_Quantity) values ('AS12945S17', 'PN18544A21', 4);</v>
      </c>
    </row>
    <row r="63" spans="2:2" x14ac:dyDescent="0.45">
      <c r="B63" t="str">
        <f t="shared" si="1"/>
        <v>insert into BOM(Product_ID, Component_ID, Component_Quantity) values ('AS12945S17', 'PN18544C21', 2);</v>
      </c>
    </row>
    <row r="64" spans="2:2" x14ac:dyDescent="0.45">
      <c r="B64" t="str">
        <f>_xlfn.CONCAT("insert into BOM(Product_ID, Component_ID, Component_Quantity) values ('",A19,"', '",B19,"', ",D19,");")</f>
        <v>insert into BOM(Product_ID, Component_ID, Component_Quantity) values ('AS12945S17', 'PN18324C51', 1);</v>
      </c>
    </row>
    <row r="65" spans="2:2" x14ac:dyDescent="0.45">
      <c r="B65" t="str">
        <f t="shared" si="1"/>
        <v>insert into BOM(Product_ID, Component_ID, Component_Quantity) values ('AS12945P17', 'PN52384R45', 1);</v>
      </c>
    </row>
    <row r="66" spans="2:2" x14ac:dyDescent="0.45">
      <c r="B66" t="str">
        <f t="shared" si="1"/>
        <v>insert into BOM(Product_ID, Component_ID, Component_Quantity) values ('AS12945P17', 'PN18324C91', 1);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36D-7E6F-45CD-A274-6E2AE1A9129E}">
  <dimension ref="A1:E18"/>
  <sheetViews>
    <sheetView workbookViewId="0">
      <selection activeCell="E2" sqref="E2:E18"/>
    </sheetView>
  </sheetViews>
  <sheetFormatPr defaultRowHeight="14.25" x14ac:dyDescent="0.45"/>
  <cols>
    <col min="1" max="1" width="7.796875" bestFit="1" customWidth="1"/>
    <col min="2" max="2" width="10.796875" customWidth="1"/>
    <col min="3" max="3" width="9.73046875" bestFit="1" customWidth="1"/>
  </cols>
  <sheetData>
    <row r="1" spans="1:5" x14ac:dyDescent="0.45">
      <c r="A1" t="s">
        <v>155</v>
      </c>
      <c r="B1" t="s">
        <v>31</v>
      </c>
      <c r="C1" t="s">
        <v>73</v>
      </c>
    </row>
    <row r="2" spans="1:5" x14ac:dyDescent="0.45">
      <c r="A2">
        <v>125</v>
      </c>
      <c r="B2">
        <v>5647</v>
      </c>
      <c r="C2">
        <v>1</v>
      </c>
      <c r="E2" t="str">
        <f>_xlfn.CONCAT("insert into BOO(Product_Family_ID, Manufacturing_Operation_ID, Operation_Order) values ('",A2,"', ",B2,", ",C2,");")</f>
        <v>insert into BOO(Product_Family_ID, Manufacturing_Operation_ID, Operation_Order) values ('125', 5647, 1);</v>
      </c>
    </row>
    <row r="3" spans="1:5" x14ac:dyDescent="0.45">
      <c r="A3">
        <v>125</v>
      </c>
      <c r="B3">
        <v>5647</v>
      </c>
      <c r="C3">
        <v>2</v>
      </c>
      <c r="E3" t="str">
        <f t="shared" ref="E3:E18" si="0">_xlfn.CONCAT("insert into BOO(Product_Family_ID, Manufacturing_Operation_ID, Operation_Order) values ('",A3,"', ",B3,", ",C3,");")</f>
        <v>insert into BOO(Product_Family_ID, Manufacturing_Operation_ID, Operation_Order) values ('125', 5647, 2);</v>
      </c>
    </row>
    <row r="4" spans="1:5" x14ac:dyDescent="0.45">
      <c r="A4">
        <v>125</v>
      </c>
      <c r="B4">
        <v>5649</v>
      </c>
      <c r="C4">
        <v>3</v>
      </c>
      <c r="E4" t="str">
        <f t="shared" si="0"/>
        <v>insert into BOO(Product_Family_ID, Manufacturing_Operation_ID, Operation_Order) values ('125', 5649, 3);</v>
      </c>
    </row>
    <row r="5" spans="1:5" x14ac:dyDescent="0.45">
      <c r="A5">
        <v>125</v>
      </c>
      <c r="B5">
        <v>5651</v>
      </c>
      <c r="C5">
        <v>4</v>
      </c>
      <c r="E5" t="str">
        <f t="shared" si="0"/>
        <v>insert into BOO(Product_Family_ID, Manufacturing_Operation_ID, Operation_Order) values ('125', 5651, 4);</v>
      </c>
    </row>
    <row r="6" spans="1:5" x14ac:dyDescent="0.45">
      <c r="A6">
        <v>125</v>
      </c>
      <c r="B6">
        <v>5653</v>
      </c>
      <c r="C6">
        <v>5</v>
      </c>
      <c r="E6" t="str">
        <f t="shared" si="0"/>
        <v>insert into BOO(Product_Family_ID, Manufacturing_Operation_ID, Operation_Order) values ('125', 5653, 5);</v>
      </c>
    </row>
    <row r="7" spans="1:5" x14ac:dyDescent="0.45">
      <c r="A7">
        <v>125</v>
      </c>
      <c r="B7">
        <v>5659</v>
      </c>
      <c r="C7">
        <v>6</v>
      </c>
      <c r="E7" t="str">
        <f t="shared" si="0"/>
        <v>insert into BOO(Product_Family_ID, Manufacturing_Operation_ID, Operation_Order) values ('125', 5659, 6);</v>
      </c>
    </row>
    <row r="8" spans="1:5" x14ac:dyDescent="0.45">
      <c r="A8">
        <v>125</v>
      </c>
      <c r="B8">
        <v>5669</v>
      </c>
      <c r="C8">
        <v>7</v>
      </c>
      <c r="E8" t="str">
        <f t="shared" si="0"/>
        <v>insert into BOO(Product_Family_ID, Manufacturing_Operation_ID, Operation_Order) values ('125', 5669, 7);</v>
      </c>
    </row>
    <row r="9" spans="1:5" x14ac:dyDescent="0.45">
      <c r="A9">
        <v>125</v>
      </c>
      <c r="B9">
        <v>5655</v>
      </c>
      <c r="C9">
        <v>8</v>
      </c>
      <c r="E9" t="str">
        <f t="shared" si="0"/>
        <v>insert into BOO(Product_Family_ID, Manufacturing_Operation_ID, Operation_Order) values ('125', 5655, 8);</v>
      </c>
    </row>
    <row r="10" spans="1:5" x14ac:dyDescent="0.45">
      <c r="A10">
        <v>125</v>
      </c>
      <c r="B10">
        <v>5657</v>
      </c>
      <c r="C10">
        <v>9</v>
      </c>
      <c r="E10" t="str">
        <f t="shared" si="0"/>
        <v>insert into BOO(Product_Family_ID, Manufacturing_Operation_ID, Operation_Order) values ('125', 5657, 9);</v>
      </c>
    </row>
    <row r="11" spans="1:5" x14ac:dyDescent="0.45">
      <c r="A11">
        <v>125</v>
      </c>
      <c r="B11">
        <v>5661</v>
      </c>
      <c r="C11">
        <v>10</v>
      </c>
      <c r="E11" t="str">
        <f t="shared" si="0"/>
        <v>insert into BOO(Product_Family_ID, Manufacturing_Operation_ID, Operation_Order) values ('125', 5661, 10);</v>
      </c>
    </row>
    <row r="12" spans="1:5" x14ac:dyDescent="0.45">
      <c r="A12">
        <v>125</v>
      </c>
      <c r="B12">
        <v>5667</v>
      </c>
      <c r="C12">
        <v>11</v>
      </c>
      <c r="E12" t="str">
        <f t="shared" si="0"/>
        <v>insert into BOO(Product_Family_ID, Manufacturing_Operation_ID, Operation_Order) values ('125', 5667, 11);</v>
      </c>
    </row>
    <row r="13" spans="1:5" x14ac:dyDescent="0.45">
      <c r="A13">
        <v>125</v>
      </c>
      <c r="B13">
        <v>5663</v>
      </c>
      <c r="C13">
        <v>12</v>
      </c>
      <c r="E13" t="str">
        <f t="shared" si="0"/>
        <v>insert into BOO(Product_Family_ID, Manufacturing_Operation_ID, Operation_Order) values ('125', 5663, 12);</v>
      </c>
    </row>
    <row r="14" spans="1:5" x14ac:dyDescent="0.45">
      <c r="A14">
        <v>132</v>
      </c>
      <c r="B14">
        <v>5681</v>
      </c>
      <c r="C14">
        <v>1</v>
      </c>
      <c r="E14" t="str">
        <f t="shared" si="0"/>
        <v>insert into BOO(Product_Family_ID, Manufacturing_Operation_ID, Operation_Order) values ('132', 5681, 1);</v>
      </c>
    </row>
    <row r="15" spans="1:5" x14ac:dyDescent="0.45">
      <c r="A15">
        <v>132</v>
      </c>
      <c r="B15">
        <v>5682</v>
      </c>
      <c r="C15">
        <v>2</v>
      </c>
      <c r="E15" t="str">
        <f t="shared" si="0"/>
        <v>insert into BOO(Product_Family_ID, Manufacturing_Operation_ID, Operation_Order) values ('132', 5682, 2);</v>
      </c>
    </row>
    <row r="16" spans="1:5" x14ac:dyDescent="0.45">
      <c r="A16">
        <v>132</v>
      </c>
      <c r="B16">
        <v>5683</v>
      </c>
      <c r="C16">
        <v>3</v>
      </c>
      <c r="E16" t="str">
        <f t="shared" si="0"/>
        <v>insert into BOO(Product_Family_ID, Manufacturing_Operation_ID, Operation_Order) values ('132', 5683, 3);</v>
      </c>
    </row>
    <row r="17" spans="1:5" x14ac:dyDescent="0.45">
      <c r="A17">
        <v>132</v>
      </c>
      <c r="B17">
        <v>5665</v>
      </c>
      <c r="C17">
        <v>4</v>
      </c>
      <c r="E17" t="str">
        <f t="shared" si="0"/>
        <v>insert into BOO(Product_Family_ID, Manufacturing_Operation_ID, Operation_Order) values ('132', 5665, 4);</v>
      </c>
    </row>
    <row r="18" spans="1:5" x14ac:dyDescent="0.45">
      <c r="A18">
        <v>132</v>
      </c>
      <c r="B18">
        <v>5688</v>
      </c>
      <c r="C18">
        <v>5</v>
      </c>
      <c r="E18" t="str">
        <f t="shared" si="0"/>
        <v>insert into BOO(Product_Family_ID, Manufacturing_Operation_ID, Operation_Order) values ('132', 5688, 5);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Clients</vt:lpstr>
      <vt:lpstr>Products</vt:lpstr>
      <vt:lpstr>ProductFamily</vt:lpstr>
      <vt:lpstr>Orders</vt:lpstr>
      <vt:lpstr>Operations</vt:lpstr>
      <vt:lpstr>WorkstationTypes</vt:lpstr>
      <vt:lpstr>Workstations</vt:lpstr>
      <vt:lpstr>BOM</vt:lpstr>
      <vt:lpstr>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Diogo Pereira</cp:lastModifiedBy>
  <dcterms:created xsi:type="dcterms:W3CDTF">2024-10-15T18:17:29Z</dcterms:created>
  <dcterms:modified xsi:type="dcterms:W3CDTF">2024-11-06T16:35:04Z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2024-11-06T16:07:27Z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3cf4c707-3396-4fde-b2e6-61fdda39dcb9</vt:lpwstr>
  </property>
  <property fmtid="{D5CDD505-2E9C-101B-9397-08002B2CF9AE}" pid="7" name="MSIP_Label_defa4170-0d19-0005-0004-bc88714345d2_ActionId">
    <vt:lpwstr>f40d3c12-ccea-43c0-a01b-9d383e365c82</vt:lpwstr>
  </property>
  <property fmtid="{D5CDD505-2E9C-101B-9397-08002B2CF9AE}" pid="8" name="MSIP_Label_defa4170-0d19-0005-0004-bc88714345d2_ContentBits">
    <vt:lpwstr>0</vt:lpwstr>
  </property>
</Properties>
</file>