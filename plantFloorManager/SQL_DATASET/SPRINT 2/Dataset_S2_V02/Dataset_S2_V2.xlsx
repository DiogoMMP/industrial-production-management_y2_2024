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cms6-my.sharepoint.com/personal/diogopereira_0cms6_onmicrosoft_com/Documents/Faculdade/Projeto Integrador/"/>
    </mc:Choice>
  </mc:AlternateContent>
  <xr:revisionPtr revIDLastSave="0" documentId="8_{8ECE1753-D1B4-419C-89D2-A24B71B1A6E1}" xr6:coauthVersionLast="47" xr6:coauthVersionMax="47" xr10:uidLastSave="{00000000-0000-0000-0000-000000000000}"/>
  <bookViews>
    <workbookView xWindow="-4965" yWindow="8002" windowWidth="21795" windowHeight="12975" activeTab="2" xr2:uid="{771FF3D2-A978-433E-9C6A-F965B4437F98}"/>
  </bookViews>
  <sheets>
    <sheet name="part" sheetId="3" r:id="rId1"/>
    <sheet name="operation_type" sheetId="4" r:id="rId2"/>
    <sheet name="boo" sheetId="2" r:id="rId3"/>
  </sheets>
  <definedNames>
    <definedName name="DadosExternos_1" localSheetId="2" hidden="1">boo!$A$1:$A$7</definedName>
    <definedName name="DadosExternos_2" localSheetId="1" hidden="1">operation_type!$A$1:$B$19</definedName>
    <definedName name="DadosExternos_2" localSheetId="0" hidden="1">part!$A$1:$B$34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523A1-82F2-467B-B403-C86C3B6B7A74}" keepAlive="1" name="Consulta - boo" description="Ligação à consulta 'boo' no livro." type="5" refreshedVersion="8" background="1" saveData="1">
    <dbPr connection="Provider=Microsoft.Mashup.OleDb.1;Data Source=$Workbook$;Location=boo;Extended Properties=&quot;&quot;" command="SELECT * FROM [boo]"/>
  </connection>
  <connection id="2" xr16:uid="{7D81BBA5-B55B-4752-A42D-91BC1A028107}" keepAlive="1" name="Consulta - operation_type" description="Ligação à consulta 'operation_type' no livro." type="5" refreshedVersion="8" background="1" saveData="1">
    <dbPr connection="Provider=Microsoft.Mashup.OleDb.1;Data Source=$Workbook$;Location=operation_type;Extended Properties=&quot;&quot;" command="SELECT * FROM [operation_type]"/>
  </connection>
  <connection id="3" xr16:uid="{81BB1D78-54C6-41A4-AD46-70DBE34819D4}" keepAlive="1" name="Consulta - part" description="Ligação à consulta 'part' no livro." type="5" refreshedVersion="8" background="1" saveData="1">
    <dbPr connection="Provider=Microsoft.Mashup.OleDb.1;Data Source=$Workbook$;Location=part;Extended Properties=&quot;&quot;" command="SELECT * FROM [part]"/>
  </connection>
</connections>
</file>

<file path=xl/sharedStrings.xml><?xml version="1.0" encoding="utf-8"?>
<sst xmlns="http://schemas.openxmlformats.org/spreadsheetml/2006/main" count="95" uniqueCount="90">
  <si>
    <t>Attribute:id</t>
  </si>
  <si>
    <t>AS12946S22</t>
  </si>
  <si>
    <t>AS12947S22</t>
  </si>
  <si>
    <t>AS12945S22</t>
  </si>
  <si>
    <t>AS12946S20</t>
  </si>
  <si>
    <t>AS12947S20</t>
  </si>
  <si>
    <t>AS12945S20</t>
  </si>
  <si>
    <t>part_number</t>
  </si>
  <si>
    <t>description</t>
  </si>
  <si>
    <t>PN12344A21</t>
  </si>
  <si>
    <t>Screw M6 35 mm</t>
  </si>
  <si>
    <t>PN52384R50</t>
  </si>
  <si>
    <t>300x300 mm 5 mm stainless steel sheet</t>
  </si>
  <si>
    <t>PN52384R10</t>
  </si>
  <si>
    <t>300x300 mm 1 mm stainless steel sheet</t>
  </si>
  <si>
    <t>PN18544A21</t>
  </si>
  <si>
    <t>Rivet 6 mm</t>
  </si>
  <si>
    <t>PN18544C21</t>
  </si>
  <si>
    <t>Stainless steel handle model U6</t>
  </si>
  <si>
    <t>PN18324C54</t>
  </si>
  <si>
    <t>Stainless steel handle model R12</t>
  </si>
  <si>
    <t>PN52384R45</t>
  </si>
  <si>
    <t>250x250 mm 5mm stainless steel sheet</t>
  </si>
  <si>
    <t>PN52384R12</t>
  </si>
  <si>
    <t>250x250 mm 1mm stainless steel sheet</t>
  </si>
  <si>
    <t>PN18324C91</t>
  </si>
  <si>
    <t>Stainless steel handle model S26</t>
  </si>
  <si>
    <t>PN18324C51</t>
  </si>
  <si>
    <t>Stainless steel handle model R11</t>
  </si>
  <si>
    <t>AS12945T22</t>
  </si>
  <si>
    <t>5l 22 cm aluminium and teflon non stick pot</t>
  </si>
  <si>
    <t>5l 22 cm stainless steel pot</t>
  </si>
  <si>
    <t>5l 22 cm stainless steel pot bottom</t>
  </si>
  <si>
    <t>22 cm stainless steel lid</t>
  </si>
  <si>
    <t>3l 20 cm stainless steel pot</t>
  </si>
  <si>
    <t>AS12945S17</t>
  </si>
  <si>
    <t>2l 17 cm stainless steel pot</t>
  </si>
  <si>
    <t>AS12945P17</t>
  </si>
  <si>
    <t>2l 17 cm stainless steel souce pan</t>
  </si>
  <si>
    <t>AS12945S48</t>
  </si>
  <si>
    <t>17 cm stainless steel lid</t>
  </si>
  <si>
    <t>AS12945G48</t>
  </si>
  <si>
    <t>17 cm glass lid</t>
  </si>
  <si>
    <t>IP12945A01</t>
  </si>
  <si>
    <t>250 mm 5 mm stailess steel disc</t>
  </si>
  <si>
    <t>IP12945A02</t>
  </si>
  <si>
    <t>220 mm pot base phase 1</t>
  </si>
  <si>
    <t>IP12945A03</t>
  </si>
  <si>
    <t>220 mm pot base phase 2</t>
  </si>
  <si>
    <t>IP12945A04</t>
  </si>
  <si>
    <t>220 mm pot base final</t>
  </si>
  <si>
    <t>IP12947A01</t>
  </si>
  <si>
    <t>250 mm 1 mm stailess steel disc</t>
  </si>
  <si>
    <t>IP12947A02</t>
  </si>
  <si>
    <t>220 mm lid pressed</t>
  </si>
  <si>
    <t>IP12947A03</t>
  </si>
  <si>
    <t>220 mm lid polished</t>
  </si>
  <si>
    <t>IP12947A04</t>
  </si>
  <si>
    <t>220 mm lid with handle</t>
  </si>
  <si>
    <t>IP12945A32</t>
  </si>
  <si>
    <t>200 mm pot base phase 1</t>
  </si>
  <si>
    <t>IP12945A33</t>
  </si>
  <si>
    <t>200 mm pot base phase 2</t>
  </si>
  <si>
    <t>IP12945A34</t>
  </si>
  <si>
    <t>200 mm pot base final</t>
  </si>
  <si>
    <t>IP12947A32</t>
  </si>
  <si>
    <t>200 mm lid pressed</t>
  </si>
  <si>
    <t>IP12947A33</t>
  </si>
  <si>
    <t>200 mm lid polished</t>
  </si>
  <si>
    <t>IP12947A34</t>
  </si>
  <si>
    <t>200 mm lid with handle</t>
  </si>
  <si>
    <t>operation_desc</t>
  </si>
  <si>
    <t>Disc cutting</t>
  </si>
  <si>
    <t>Initial pot base pressing</t>
  </si>
  <si>
    <t>Final pot base pressing</t>
  </si>
  <si>
    <t>Pot base finishing</t>
  </si>
  <si>
    <t>Lid pressing</t>
  </si>
  <si>
    <t>Lid finishing</t>
  </si>
  <si>
    <t>Pot handles riveting</t>
  </si>
  <si>
    <t>Lid handle screw</t>
  </si>
  <si>
    <t>Pot test and packaging</t>
  </si>
  <si>
    <t>Handle welding</t>
  </si>
  <si>
    <t>Lid polishing</t>
  </si>
  <si>
    <t>Pot base polishing</t>
  </si>
  <si>
    <t>Teflon painting</t>
  </si>
  <si>
    <t>Initial pan base pressing</t>
  </si>
  <si>
    <t>Final pan base pressing</t>
  </si>
  <si>
    <t>Pan base finishing</t>
  </si>
  <si>
    <t>Handle gluing</t>
  </si>
  <si>
    <t>Pan test and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</si>
</sst>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879306C9-AE18-49A5-BB9C-D75193DA3E0E}" autoFormatId="16" applyNumberFormats="0" applyBorderFormats="0" applyFontFormats="0" applyPatternFormats="0" applyAlignmentFormats="0" applyWidthHeightFormats="0">
  <queryTableRefresh nextId="3">
    <queryTableFields count="2">
      <queryTableField id="1" name="part_number" tableColumnId="1"/>
      <queryTableField id="2" name="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FB45413C-FCF9-41EF-A7B8-A3B34B0A67BD}" autoFormatId="16" applyNumberFormats="0" applyBorderFormats="0" applyFontFormats="0" applyPatternFormats="0" applyAlignmentFormats="0" applyWidthHeightFormats="0">
  <queryTableRefresh nextId="3">
    <queryTableFields count="2">
      <queryTableField id="1" name="operation_desc" tableColumnId="1"/>
      <queryTableField id="2" name="Attribute: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3C6BB1D-6E61-4325-A962-CAB216A4508D}" autoFormatId="16" applyNumberFormats="0" applyBorderFormats="0" applyFontFormats="0" applyPatternFormats="0" applyAlignmentFormats="0" applyWidthHeightFormats="0">
  <queryTableRefresh nextId="2">
    <queryTableFields count="1">
      <queryTableField id="1" name="Attribute: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11F8E-09C0-430B-9A40-6F6FB5D1DE41}" name="part" displayName="part" ref="A1:B34" tableType="queryTable" totalsRowShown="0">
  <autoFilter ref="A1:B34" xr:uid="{CED11F8E-09C0-430B-9A40-6F6FB5D1DE41}"/>
  <tableColumns count="2">
    <tableColumn id="1" xr3:uid="{9FFEECB7-A7F0-44A7-894A-0CAEC7C4C843}" uniqueName="1" name="part_number" queryTableFieldId="1" dataDxfId="2"/>
    <tableColumn id="2" xr3:uid="{E08D4C0F-AFD4-41F0-BBCD-B2091DFBDCF3}" uniqueName="2" name="description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D33285-FB8C-4B60-84DA-39E77886B2F8}" name="operation_type" displayName="operation_type" ref="A1:B19" tableType="queryTable" totalsRowShown="0">
  <autoFilter ref="A1:B19" xr:uid="{64D33285-FB8C-4B60-84DA-39E77886B2F8}"/>
  <tableColumns count="2">
    <tableColumn id="1" xr3:uid="{69969D18-3AF8-4D39-9C97-47D237A1AD33}" uniqueName="1" name="operation_desc" queryTableFieldId="1" dataDxfId="0"/>
    <tableColumn id="2" xr3:uid="{4908CCF1-11B5-4E40-BAFA-14D4D2550810}" uniqueName="2" name="Attribute: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E4583-0D18-4770-B8A1-37D9C7549A3D}" name="boo" displayName="boo" ref="A1:A7" tableType="queryTable" totalsRowShown="0">
  <autoFilter ref="A1:A7" xr:uid="{2E8E4583-0D18-4770-B8A1-37D9C7549A3D}"/>
  <tableColumns count="1">
    <tableColumn id="1" xr3:uid="{559CFD69-9AB4-4382-ABDB-735ADB87E21A}" uniqueName="1" name="Attribute:id" queryTableFieldId="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309A-5431-48F4-ABE1-5213D5F10A88}">
  <dimension ref="A1:D34"/>
  <sheetViews>
    <sheetView workbookViewId="0">
      <selection activeCell="D2" sqref="D2:D34"/>
    </sheetView>
  </sheetViews>
  <sheetFormatPr defaultRowHeight="15" x14ac:dyDescent="0.25"/>
  <cols>
    <col min="1" max="1" width="14.7109375" bestFit="1" customWidth="1"/>
    <col min="2" max="2" width="40.28515625" bestFit="1" customWidth="1"/>
  </cols>
  <sheetData>
    <row r="1" spans="1:4" x14ac:dyDescent="0.25">
      <c r="A1" t="s">
        <v>7</v>
      </c>
      <c r="B1" t="s">
        <v>8</v>
      </c>
    </row>
    <row r="2" spans="1:4" x14ac:dyDescent="0.25">
      <c r="A2" s="1" t="s">
        <v>9</v>
      </c>
      <c r="B2" s="1" t="s">
        <v>10</v>
      </c>
      <c r="D2" t="str">
        <f>_xlfn.CONCAT("insert into Part(Part_ID, Part_Description) values ('",part[[#This Row],[part_number]],"', '",part[[#This Row],[description]],"');")</f>
        <v>insert into Part(Part_ID, Part_Description) values ('PN12344A21', 'Screw M6 35 mm');</v>
      </c>
    </row>
    <row r="3" spans="1:4" x14ac:dyDescent="0.25">
      <c r="A3" s="1" t="s">
        <v>11</v>
      </c>
      <c r="B3" s="1" t="s">
        <v>12</v>
      </c>
      <c r="D3" t="str">
        <f>_xlfn.CONCAT("insert into Part(Part_ID, Part_Description) values ('",part[[#This Row],[part_number]],"', '",part[[#This Row],[description]],"');")</f>
        <v>insert into Part(Part_ID, Part_Description) values ('PN52384R50', '300x300 mm 5 mm stainless steel sheet');</v>
      </c>
    </row>
    <row r="4" spans="1:4" x14ac:dyDescent="0.25">
      <c r="A4" s="1" t="s">
        <v>13</v>
      </c>
      <c r="B4" s="1" t="s">
        <v>14</v>
      </c>
      <c r="D4" t="str">
        <f>_xlfn.CONCAT("insert into Part(Part_ID, Part_Description) values ('",part[[#This Row],[part_number]],"', '",part[[#This Row],[description]],"');")</f>
        <v>insert into Part(Part_ID, Part_Description) values ('PN52384R10', '300x300 mm 1 mm stainless steel sheet');</v>
      </c>
    </row>
    <row r="5" spans="1:4" x14ac:dyDescent="0.25">
      <c r="A5" s="1" t="s">
        <v>15</v>
      </c>
      <c r="B5" s="1" t="s">
        <v>16</v>
      </c>
      <c r="D5" t="str">
        <f>_xlfn.CONCAT("insert into Part(Part_ID, Part_Description) values ('",part[[#This Row],[part_number]],"', '",part[[#This Row],[description]],"');")</f>
        <v>insert into Part(Part_ID, Part_Description) values ('PN18544A21', 'Rivet 6 mm');</v>
      </c>
    </row>
    <row r="6" spans="1:4" x14ac:dyDescent="0.25">
      <c r="A6" s="1" t="s">
        <v>17</v>
      </c>
      <c r="B6" s="1" t="s">
        <v>18</v>
      </c>
      <c r="D6" t="str">
        <f>_xlfn.CONCAT("insert into Part(Part_ID, Part_Description) values ('",part[[#This Row],[part_number]],"', '",part[[#This Row],[description]],"');")</f>
        <v>insert into Part(Part_ID, Part_Description) values ('PN18544C21', 'Stainless steel handle model U6');</v>
      </c>
    </row>
    <row r="7" spans="1:4" x14ac:dyDescent="0.25">
      <c r="A7" s="1" t="s">
        <v>19</v>
      </c>
      <c r="B7" s="1" t="s">
        <v>20</v>
      </c>
      <c r="D7" t="str">
        <f>_xlfn.CONCAT("insert into Part(Part_ID, Part_Description) values ('",part[[#This Row],[part_number]],"', '",part[[#This Row],[description]],"');")</f>
        <v>insert into Part(Part_ID, Part_Description) values ('PN18324C54', 'Stainless steel handle model R12');</v>
      </c>
    </row>
    <row r="8" spans="1:4" x14ac:dyDescent="0.25">
      <c r="A8" s="1" t="s">
        <v>21</v>
      </c>
      <c r="B8" s="1" t="s">
        <v>22</v>
      </c>
      <c r="D8" t="str">
        <f>_xlfn.CONCAT("insert into Part(Part_ID, Part_Description) values ('",part[[#This Row],[part_number]],"', '",part[[#This Row],[description]],"');")</f>
        <v>insert into Part(Part_ID, Part_Description) values ('PN52384R45', '250x250 mm 5mm stainless steel sheet');</v>
      </c>
    </row>
    <row r="9" spans="1:4" x14ac:dyDescent="0.25">
      <c r="A9" s="1" t="s">
        <v>23</v>
      </c>
      <c r="B9" s="1" t="s">
        <v>24</v>
      </c>
      <c r="D9" t="str">
        <f>_xlfn.CONCAT("insert into Part(Part_ID, Part_Description) values ('",part[[#This Row],[part_number]],"', '",part[[#This Row],[description]],"');")</f>
        <v>insert into Part(Part_ID, Part_Description) values ('PN52384R12', '250x250 mm 1mm stainless steel sheet');</v>
      </c>
    </row>
    <row r="10" spans="1:4" x14ac:dyDescent="0.25">
      <c r="A10" s="1" t="s">
        <v>25</v>
      </c>
      <c r="B10" s="1" t="s">
        <v>26</v>
      </c>
      <c r="D10" t="str">
        <f>_xlfn.CONCAT("insert into Part(Part_ID, Part_Description) values ('",part[[#This Row],[part_number]],"', '",part[[#This Row],[description]],"');")</f>
        <v>insert into Part(Part_ID, Part_Description) values ('PN18324C91', 'Stainless steel handle model S26');</v>
      </c>
    </row>
    <row r="11" spans="1:4" x14ac:dyDescent="0.25">
      <c r="A11" s="1" t="s">
        <v>27</v>
      </c>
      <c r="B11" s="1" t="s">
        <v>28</v>
      </c>
      <c r="D11" t="str">
        <f>_xlfn.CONCAT("insert into Part(Part_ID, Part_Description) values ('",part[[#This Row],[part_number]],"', '",part[[#This Row],[description]],"');")</f>
        <v>insert into Part(Part_ID, Part_Description) values ('PN18324C51', 'Stainless steel handle model R11');</v>
      </c>
    </row>
    <row r="12" spans="1:4" x14ac:dyDescent="0.25">
      <c r="A12" s="1" t="s">
        <v>29</v>
      </c>
      <c r="B12" s="1" t="s">
        <v>30</v>
      </c>
      <c r="D12" t="str">
        <f>_xlfn.CONCAT("insert into Part(Part_ID, Part_Description) values ('",part[[#This Row],[part_number]],"', '",part[[#This Row],[description]],"');")</f>
        <v>insert into Part(Part_ID, Part_Description) values ('AS12945T22', '5l 22 cm aluminium and teflon non stick pot');</v>
      </c>
    </row>
    <row r="13" spans="1:4" x14ac:dyDescent="0.25">
      <c r="A13" s="1" t="s">
        <v>3</v>
      </c>
      <c r="B13" s="1" t="s">
        <v>31</v>
      </c>
      <c r="D13" t="str">
        <f>_xlfn.CONCAT("insert into Part(Part_ID, Part_Description) values ('",part[[#This Row],[part_number]],"', '",part[[#This Row],[description]],"');")</f>
        <v>insert into Part(Part_ID, Part_Description) values ('AS12945S22', '5l 22 cm stainless steel pot');</v>
      </c>
    </row>
    <row r="14" spans="1:4" x14ac:dyDescent="0.25">
      <c r="A14" s="1" t="s">
        <v>1</v>
      </c>
      <c r="B14" s="1" t="s">
        <v>32</v>
      </c>
      <c r="D14" t="str">
        <f>_xlfn.CONCAT("insert into Part(Part_ID, Part_Description) values ('",part[[#This Row],[part_number]],"', '",part[[#This Row],[description]],"');")</f>
        <v>insert into Part(Part_ID, Part_Description) values ('AS12946S22', '5l 22 cm stainless steel pot bottom');</v>
      </c>
    </row>
    <row r="15" spans="1:4" x14ac:dyDescent="0.25">
      <c r="A15" s="1" t="s">
        <v>2</v>
      </c>
      <c r="B15" s="1" t="s">
        <v>33</v>
      </c>
      <c r="D15" t="str">
        <f>_xlfn.CONCAT("insert into Part(Part_ID, Part_Description) values ('",part[[#This Row],[part_number]],"', '",part[[#This Row],[description]],"');")</f>
        <v>insert into Part(Part_ID, Part_Description) values ('AS12947S22', '22 cm stainless steel lid');</v>
      </c>
    </row>
    <row r="16" spans="1:4" x14ac:dyDescent="0.25">
      <c r="A16" s="1" t="s">
        <v>6</v>
      </c>
      <c r="B16" s="1" t="s">
        <v>34</v>
      </c>
      <c r="D16" t="str">
        <f>_xlfn.CONCAT("insert into Part(Part_ID, Part_Description) values ('",part[[#This Row],[part_number]],"', '",part[[#This Row],[description]],"');")</f>
        <v>insert into Part(Part_ID, Part_Description) values ('AS12945S20', '3l 20 cm stainless steel pot');</v>
      </c>
    </row>
    <row r="17" spans="1:4" x14ac:dyDescent="0.25">
      <c r="A17" s="1" t="s">
        <v>35</v>
      </c>
      <c r="B17" s="1" t="s">
        <v>36</v>
      </c>
      <c r="D17" t="str">
        <f>_xlfn.CONCAT("insert into Part(Part_ID, Part_Description) values ('",part[[#This Row],[part_number]],"', '",part[[#This Row],[description]],"');")</f>
        <v>insert into Part(Part_ID, Part_Description) values ('AS12945S17', '2l 17 cm stainless steel pot');</v>
      </c>
    </row>
    <row r="18" spans="1:4" x14ac:dyDescent="0.25">
      <c r="A18" s="1" t="s">
        <v>37</v>
      </c>
      <c r="B18" s="1" t="s">
        <v>38</v>
      </c>
      <c r="D18" t="str">
        <f>_xlfn.CONCAT("insert into Part(Part_ID, Part_Description) values ('",part[[#This Row],[part_number]],"', '",part[[#This Row],[description]],"');")</f>
        <v>insert into Part(Part_ID, Part_Description) values ('AS12945P17', '2l 17 cm stainless steel souce pan');</v>
      </c>
    </row>
    <row r="19" spans="1:4" x14ac:dyDescent="0.25">
      <c r="A19" s="1" t="s">
        <v>39</v>
      </c>
      <c r="B19" s="1" t="s">
        <v>40</v>
      </c>
      <c r="D19" t="str">
        <f>_xlfn.CONCAT("insert into Part(Part_ID, Part_Description) values ('",part[[#This Row],[part_number]],"', '",part[[#This Row],[description]],"');")</f>
        <v>insert into Part(Part_ID, Part_Description) values ('AS12945S48', '17 cm stainless steel lid');</v>
      </c>
    </row>
    <row r="20" spans="1:4" x14ac:dyDescent="0.25">
      <c r="A20" s="1" t="s">
        <v>41</v>
      </c>
      <c r="B20" s="1" t="s">
        <v>42</v>
      </c>
      <c r="D20" t="str">
        <f>_xlfn.CONCAT("insert into Part(Part_ID, Part_Description) values ('",part[[#This Row],[part_number]],"', '",part[[#This Row],[description]],"');")</f>
        <v>insert into Part(Part_ID, Part_Description) values ('AS12945G48', '17 cm glass lid');</v>
      </c>
    </row>
    <row r="21" spans="1:4" x14ac:dyDescent="0.25">
      <c r="A21" s="1" t="s">
        <v>43</v>
      </c>
      <c r="B21" s="1" t="s">
        <v>44</v>
      </c>
      <c r="D21" t="str">
        <f>_xlfn.CONCAT("insert into Part(Part_ID, Part_Description) values ('",part[[#This Row],[part_number]],"', '",part[[#This Row],[description]],"');")</f>
        <v>insert into Part(Part_ID, Part_Description) values ('IP12945A01', '250 mm 5 mm stailess steel disc');</v>
      </c>
    </row>
    <row r="22" spans="1:4" x14ac:dyDescent="0.25">
      <c r="A22" s="1" t="s">
        <v>45</v>
      </c>
      <c r="B22" s="1" t="s">
        <v>46</v>
      </c>
      <c r="D22" t="str">
        <f>_xlfn.CONCAT("insert into Part(Part_ID, Part_Description) values ('",part[[#This Row],[part_number]],"', '",part[[#This Row],[description]],"');")</f>
        <v>insert into Part(Part_ID, Part_Description) values ('IP12945A02', '220 mm pot base phase 1');</v>
      </c>
    </row>
    <row r="23" spans="1:4" x14ac:dyDescent="0.25">
      <c r="A23" s="1" t="s">
        <v>47</v>
      </c>
      <c r="B23" s="1" t="s">
        <v>48</v>
      </c>
      <c r="D23" t="str">
        <f>_xlfn.CONCAT("insert into Part(Part_ID, Part_Description) values ('",part[[#This Row],[part_number]],"', '",part[[#This Row],[description]],"');")</f>
        <v>insert into Part(Part_ID, Part_Description) values ('IP12945A03', '220 mm pot base phase 2');</v>
      </c>
    </row>
    <row r="24" spans="1:4" x14ac:dyDescent="0.25">
      <c r="A24" s="1" t="s">
        <v>49</v>
      </c>
      <c r="B24" s="1" t="s">
        <v>50</v>
      </c>
      <c r="D24" t="str">
        <f>_xlfn.CONCAT("insert into Part(Part_ID, Part_Description) values ('",part[[#This Row],[part_number]],"', '",part[[#This Row],[description]],"');")</f>
        <v>insert into Part(Part_ID, Part_Description) values ('IP12945A04', '220 mm pot base final');</v>
      </c>
    </row>
    <row r="25" spans="1:4" x14ac:dyDescent="0.25">
      <c r="A25" s="1" t="s">
        <v>51</v>
      </c>
      <c r="B25" s="1" t="s">
        <v>52</v>
      </c>
      <c r="D25" t="str">
        <f>_xlfn.CONCAT("insert into Part(Part_ID, Part_Description) values ('",part[[#This Row],[part_number]],"', '",part[[#This Row],[description]],"');")</f>
        <v>insert into Part(Part_ID, Part_Description) values ('IP12947A01', '250 mm 1 mm stailess steel disc');</v>
      </c>
    </row>
    <row r="26" spans="1:4" x14ac:dyDescent="0.25">
      <c r="A26" s="1" t="s">
        <v>53</v>
      </c>
      <c r="B26" s="1" t="s">
        <v>54</v>
      </c>
      <c r="D26" t="str">
        <f>_xlfn.CONCAT("insert into Part(Part_ID, Part_Description) values ('",part[[#This Row],[part_number]],"', '",part[[#This Row],[description]],"');")</f>
        <v>insert into Part(Part_ID, Part_Description) values ('IP12947A02', '220 mm lid pressed');</v>
      </c>
    </row>
    <row r="27" spans="1:4" x14ac:dyDescent="0.25">
      <c r="A27" s="1" t="s">
        <v>55</v>
      </c>
      <c r="B27" s="1" t="s">
        <v>56</v>
      </c>
      <c r="D27" t="str">
        <f>_xlfn.CONCAT("insert into Part(Part_ID, Part_Description) values ('",part[[#This Row],[part_number]],"', '",part[[#This Row],[description]],"');")</f>
        <v>insert into Part(Part_ID, Part_Description) values ('IP12947A03', '220 mm lid polished');</v>
      </c>
    </row>
    <row r="28" spans="1:4" x14ac:dyDescent="0.25">
      <c r="A28" s="1" t="s">
        <v>57</v>
      </c>
      <c r="B28" s="1" t="s">
        <v>58</v>
      </c>
      <c r="D28" t="str">
        <f>_xlfn.CONCAT("insert into Part(Part_ID, Part_Description) values ('",part[[#This Row],[part_number]],"', '",part[[#This Row],[description]],"');")</f>
        <v>insert into Part(Part_ID, Part_Description) values ('IP12947A04', '220 mm lid with handle');</v>
      </c>
    </row>
    <row r="29" spans="1:4" x14ac:dyDescent="0.25">
      <c r="A29" s="1" t="s">
        <v>59</v>
      </c>
      <c r="B29" s="1" t="s">
        <v>60</v>
      </c>
      <c r="D29" t="str">
        <f>_xlfn.CONCAT("insert into Part(Part_ID, Part_Description) values ('",part[[#This Row],[part_number]],"', '",part[[#This Row],[description]],"');")</f>
        <v>insert into Part(Part_ID, Part_Description) values ('IP12945A32', '200 mm pot base phase 1');</v>
      </c>
    </row>
    <row r="30" spans="1:4" x14ac:dyDescent="0.25">
      <c r="A30" s="1" t="s">
        <v>61</v>
      </c>
      <c r="B30" s="1" t="s">
        <v>62</v>
      </c>
      <c r="D30" t="str">
        <f>_xlfn.CONCAT("insert into Part(Part_ID, Part_Description) values ('",part[[#This Row],[part_number]],"', '",part[[#This Row],[description]],"');")</f>
        <v>insert into Part(Part_ID, Part_Description) values ('IP12945A33', '200 mm pot base phase 2');</v>
      </c>
    </row>
    <row r="31" spans="1:4" x14ac:dyDescent="0.25">
      <c r="A31" s="1" t="s">
        <v>63</v>
      </c>
      <c r="B31" s="1" t="s">
        <v>64</v>
      </c>
      <c r="D31" t="str">
        <f>_xlfn.CONCAT("insert into Part(Part_ID, Part_Description) values ('",part[[#This Row],[part_number]],"', '",part[[#This Row],[description]],"');")</f>
        <v>insert into Part(Part_ID, Part_Description) values ('IP12945A34', '200 mm pot base final');</v>
      </c>
    </row>
    <row r="32" spans="1:4" x14ac:dyDescent="0.25">
      <c r="A32" s="1" t="s">
        <v>65</v>
      </c>
      <c r="B32" s="1" t="s">
        <v>66</v>
      </c>
      <c r="D32" t="str">
        <f>_xlfn.CONCAT("insert into Part(Part_ID, Part_Description) values ('",part[[#This Row],[part_number]],"', '",part[[#This Row],[description]],"');")</f>
        <v>insert into Part(Part_ID, Part_Description) values ('IP12947A32', '200 mm lid pressed');</v>
      </c>
    </row>
    <row r="33" spans="1:4" x14ac:dyDescent="0.25">
      <c r="A33" s="1" t="s">
        <v>67</v>
      </c>
      <c r="B33" s="1" t="s">
        <v>68</v>
      </c>
      <c r="D33" t="str">
        <f>_xlfn.CONCAT("insert into Part(Part_ID, Part_Description) values ('",part[[#This Row],[part_number]],"', '",part[[#This Row],[description]],"');")</f>
        <v>insert into Part(Part_ID, Part_Description) values ('IP12947A33', '200 mm lid polished');</v>
      </c>
    </row>
    <row r="34" spans="1:4" x14ac:dyDescent="0.25">
      <c r="A34" s="1" t="s">
        <v>69</v>
      </c>
      <c r="B34" s="1" t="s">
        <v>70</v>
      </c>
      <c r="D34" t="str">
        <f>_xlfn.CONCAT("insert into Part(Part_ID, Part_Description) values ('",part[[#This Row],[part_number]],"', '",part[[#This Row],[description]],"');")</f>
        <v>insert into Part(Part_ID, Part_Description) values ('IP12947A34', '200 mm lid with handle');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4870-8B3C-4E61-A4C6-CE6194898D9E}">
  <dimension ref="A1:D19"/>
  <sheetViews>
    <sheetView workbookViewId="0">
      <selection activeCell="F21" sqref="F21"/>
    </sheetView>
  </sheetViews>
  <sheetFormatPr defaultRowHeight="15" x14ac:dyDescent="0.25"/>
  <cols>
    <col min="1" max="1" width="23.140625" bestFit="1" customWidth="1"/>
    <col min="2" max="2" width="13.5703125" bestFit="1" customWidth="1"/>
  </cols>
  <sheetData>
    <row r="1" spans="1:4" x14ac:dyDescent="0.25">
      <c r="A1" t="s">
        <v>71</v>
      </c>
      <c r="B1" t="s">
        <v>0</v>
      </c>
    </row>
    <row r="2" spans="1:4" x14ac:dyDescent="0.25">
      <c r="A2" s="1" t="s">
        <v>72</v>
      </c>
      <c r="B2">
        <v>5647</v>
      </c>
      <c r="D2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(5647, 'Disc cutting');</v>
      </c>
    </row>
    <row r="3" spans="1:4" x14ac:dyDescent="0.25">
      <c r="A3" s="1" t="s">
        <v>73</v>
      </c>
      <c r="B3">
        <v>5649</v>
      </c>
      <c r="D3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(5649, 'Initial pot base pressing');</v>
      </c>
    </row>
    <row r="4" spans="1:4" x14ac:dyDescent="0.25">
      <c r="A4" s="1" t="s">
        <v>74</v>
      </c>
      <c r="B4">
        <v>5651</v>
      </c>
      <c r="D4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(5651, 'Final pot base pressing');</v>
      </c>
    </row>
    <row r="5" spans="1:4" x14ac:dyDescent="0.25">
      <c r="A5" s="1" t="s">
        <v>75</v>
      </c>
      <c r="B5">
        <v>5653</v>
      </c>
      <c r="D5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(5653, 'Pot base finishing');</v>
      </c>
    </row>
    <row r="6" spans="1:4" x14ac:dyDescent="0.25">
      <c r="A6" s="1" t="s">
        <v>76</v>
      </c>
      <c r="B6">
        <v>5655</v>
      </c>
      <c r="D6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(5655, 'Lid pressing');</v>
      </c>
    </row>
    <row r="7" spans="1:4" x14ac:dyDescent="0.25">
      <c r="A7" s="1" t="s">
        <v>77</v>
      </c>
      <c r="B7">
        <v>5657</v>
      </c>
      <c r="D7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(5657, 'Lid finishing');</v>
      </c>
    </row>
    <row r="8" spans="1:4" x14ac:dyDescent="0.25">
      <c r="A8" s="1" t="s">
        <v>78</v>
      </c>
      <c r="B8">
        <v>5659</v>
      </c>
      <c r="D8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(5659, 'Pot handles riveting');</v>
      </c>
    </row>
    <row r="9" spans="1:4" x14ac:dyDescent="0.25">
      <c r="A9" s="1" t="s">
        <v>79</v>
      </c>
      <c r="B9">
        <v>5661</v>
      </c>
      <c r="D9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(5661, 'Lid handle screw');</v>
      </c>
    </row>
    <row r="10" spans="1:4" x14ac:dyDescent="0.25">
      <c r="A10" s="1" t="s">
        <v>80</v>
      </c>
      <c r="B10">
        <v>5663</v>
      </c>
      <c r="D10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(5663, 'Pot test and packaging');</v>
      </c>
    </row>
    <row r="11" spans="1:4" x14ac:dyDescent="0.25">
      <c r="A11" s="1" t="s">
        <v>81</v>
      </c>
      <c r="B11">
        <v>5665</v>
      </c>
      <c r="D11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(5665, 'Handle welding');</v>
      </c>
    </row>
    <row r="12" spans="1:4" x14ac:dyDescent="0.25">
      <c r="A12" s="1" t="s">
        <v>82</v>
      </c>
      <c r="B12">
        <v>5667</v>
      </c>
      <c r="D12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(5667, 'Lid polishing');</v>
      </c>
    </row>
    <row r="13" spans="1:4" x14ac:dyDescent="0.25">
      <c r="A13" s="1" t="s">
        <v>83</v>
      </c>
      <c r="B13">
        <v>5669</v>
      </c>
      <c r="D13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(5669, 'Pot base polishing');</v>
      </c>
    </row>
    <row r="14" spans="1:4" x14ac:dyDescent="0.25">
      <c r="A14" s="1" t="s">
        <v>84</v>
      </c>
      <c r="B14">
        <v>5671</v>
      </c>
      <c r="D14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(5671, 'Teflon painting');</v>
      </c>
    </row>
    <row r="15" spans="1:4" x14ac:dyDescent="0.25">
      <c r="A15" s="1" t="s">
        <v>85</v>
      </c>
      <c r="B15">
        <v>5681</v>
      </c>
      <c r="D15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(5681, 'Initial pan base pressing');</v>
      </c>
    </row>
    <row r="16" spans="1:4" x14ac:dyDescent="0.25">
      <c r="A16" s="1" t="s">
        <v>86</v>
      </c>
      <c r="B16">
        <v>5682</v>
      </c>
      <c r="D16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(5682, 'Final pan base pressing');</v>
      </c>
    </row>
    <row r="17" spans="1:4" x14ac:dyDescent="0.25">
      <c r="A17" s="1" t="s">
        <v>87</v>
      </c>
      <c r="B17">
        <v>5683</v>
      </c>
      <c r="D17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(5683, 'Pan base finishing');</v>
      </c>
    </row>
    <row r="18" spans="1:4" x14ac:dyDescent="0.25">
      <c r="A18" s="1" t="s">
        <v>88</v>
      </c>
      <c r="B18">
        <v>5685</v>
      </c>
      <c r="D18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(5685, 'Handle gluing');</v>
      </c>
    </row>
    <row r="19" spans="1:4" x14ac:dyDescent="0.25">
      <c r="A19" s="1" t="s">
        <v>89</v>
      </c>
      <c r="B19">
        <v>5688</v>
      </c>
      <c r="D19" t="str">
        <f>_xlfn.CONCAT("insert into Manufacturing_Operation(Manufacturing_Operation_ID, Operation_Description) values (",operation_type[[#This Row],[Attribute:id]],", '",operation_type[[#This Row],[operation_desc]],"');")</f>
        <v>insert into Manufacturing_Operation(Manufacturing_Operation_ID, Operation_Description) values (5688, 'Pan test and packaging');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DC91-8955-4AA4-8FD4-5D7C27AC94CA}">
  <dimension ref="A1:A7"/>
  <sheetViews>
    <sheetView tabSelected="1" workbookViewId="0">
      <selection activeCell="A2" sqref="A2:A7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10467-92FC-4913-8066-F2714F3837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part</vt:lpstr>
      <vt:lpstr>operation_type</vt:lpstr>
      <vt:lpstr>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Miguel Monteiro Pereira</dc:creator>
  <cp:lastModifiedBy>Diogo Miguel Monteiro Pereira</cp:lastModifiedBy>
  <dcterms:created xsi:type="dcterms:W3CDTF">2024-11-13T20:18:55Z</dcterms:created>
  <dcterms:modified xsi:type="dcterms:W3CDTF">2024-11-13T20:44:07Z</dcterms:modified>
</cp:coreProperties>
</file>