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cms6-my.sharepoint.com/personal/diogopereira_0cms6_onmicrosoft_com/Documents/Faculdade/Projeto Integrador/"/>
    </mc:Choice>
  </mc:AlternateContent>
  <xr:revisionPtr revIDLastSave="0" documentId="8_{CA596EB5-8799-427C-A08A-53E25E57A83F}" xr6:coauthVersionLast="47" xr6:coauthVersionMax="47" xr10:uidLastSave="{00000000-0000-0000-0000-000000000000}"/>
  <bookViews>
    <workbookView xWindow="-98" yWindow="-98" windowWidth="21795" windowHeight="12975" activeTab="2" xr2:uid="{056CD6F3-F22A-4DE5-A43A-09367FC5DDA7}"/>
  </bookViews>
  <sheets>
    <sheet name="part" sheetId="2" r:id="rId1"/>
    <sheet name="operation_type" sheetId="3" r:id="rId2"/>
    <sheet name="boo" sheetId="4" r:id="rId3"/>
    <sheet name="Folha1" sheetId="1" r:id="rId4"/>
  </sheets>
  <definedNames>
    <definedName name="DadosExternos_1" localSheetId="2" hidden="1">boo!$B$1:$B$4</definedName>
    <definedName name="DadosExternos_1" localSheetId="1" hidden="1">operation_type!$A$1:$B$19</definedName>
    <definedName name="DadosExternos_1" localSheetId="0" hidden="1">part!$A$1:$B$28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969DB4-2619-4BB7-BA7B-7CC907189D97}" keepAlive="1" name="Consulta - boo" description="Ligação à consulta 'boo' no livro." type="5" refreshedVersion="8" background="1" saveData="1">
    <dbPr connection="Provider=Microsoft.Mashup.OleDb.1;Data Source=$Workbook$;Location=boo;Extended Properties=&quot;&quot;" command="SELECT * FROM [boo]"/>
  </connection>
  <connection id="2" xr16:uid="{D914DE52-28CB-4030-A8D4-D16E52292142}" keepAlive="1" name="Consulta - boo (2)" description="Ligação à consulta 'boo (2)' no livro." type="5" refreshedVersion="0" background="1">
    <dbPr connection="Provider=Microsoft.Mashup.OleDb.1;Data Source=$Workbook$;Location=&quot;boo (2)&quot;;Extended Properties=&quot;&quot;" command="SELECT * FROM [boo (2)]"/>
  </connection>
  <connection id="3" xr16:uid="{B120D865-DC83-4D92-8CAA-DBB68BBAF50B}" keepAlive="1" name="Consulta - operation_type" description="Ligação à consulta 'operation_type' no livro." type="5" refreshedVersion="8" background="1" saveData="1">
    <dbPr connection="Provider=Microsoft.Mashup.OleDb.1;Data Source=$Workbook$;Location=operation_type;Extended Properties=&quot;&quot;" command="SELECT * FROM [operation_type]"/>
  </connection>
  <connection id="4" xr16:uid="{83B2FE30-5182-44D4-B5C6-0F11E1BD0665}" keepAlive="1" name="Consulta - part" description="Ligação à consulta 'part' no livro." type="5" refreshedVersion="8" background="1" saveData="1">
    <dbPr connection="Provider=Microsoft.Mashup.OleDb.1;Data Source=$Workbook$;Location=part;Extended Properties=&quot;&quot;" command="SELECT * FROM [part]"/>
  </connection>
</connections>
</file>

<file path=xl/sharedStrings.xml><?xml version="1.0" encoding="utf-8"?>
<sst xmlns="http://schemas.openxmlformats.org/spreadsheetml/2006/main" count="81" uniqueCount="77">
  <si>
    <t>part_number</t>
  </si>
  <si>
    <t>description</t>
  </si>
  <si>
    <t>operation_desc</t>
  </si>
  <si>
    <t>Attribute:id</t>
  </si>
  <si>
    <t>"Disc cutting"</t>
  </si>
  <si>
    <t>"Initial pot base pressing"</t>
  </si>
  <si>
    <t>"Final pot base pressing"</t>
  </si>
  <si>
    <t>"Pot base finishing"</t>
  </si>
  <si>
    <t>"Lid pressing"</t>
  </si>
  <si>
    <t>"Lid finishing"</t>
  </si>
  <si>
    <t>"Pot handles riveting"</t>
  </si>
  <si>
    <t>"Lid handle screw"</t>
  </si>
  <si>
    <t>"Pot test and packaging"</t>
  </si>
  <si>
    <t>"Handle welding"</t>
  </si>
  <si>
    <t>"Lid polishing"</t>
  </si>
  <si>
    <t>"Pot base polishing"</t>
  </si>
  <si>
    <t>"Teflon painting"</t>
  </si>
  <si>
    <t>"Initial pan base pressing"</t>
  </si>
  <si>
    <t>"Final pan base pressing"</t>
  </si>
  <si>
    <t>"Pan base finishing"</t>
  </si>
  <si>
    <t>"Handle gluing"</t>
  </si>
  <si>
    <t>"Pan test and packaging"</t>
  </si>
  <si>
    <t>AS12946S22</t>
  </si>
  <si>
    <t>AS12947S22</t>
  </si>
  <si>
    <t>AS12945S22</t>
  </si>
  <si>
    <t>PN12344A21</t>
  </si>
  <si>
    <t>PN52384R50</t>
  </si>
  <si>
    <t>PN52384R10</t>
  </si>
  <si>
    <t>PN18544A21</t>
  </si>
  <si>
    <t>PN18544C21</t>
  </si>
  <si>
    <t>PN18324C54</t>
  </si>
  <si>
    <t>PN52384R45</t>
  </si>
  <si>
    <t>PN52384R12</t>
  </si>
  <si>
    <t>PN18324C91</t>
  </si>
  <si>
    <t>PN18324C51</t>
  </si>
  <si>
    <t>AS12945T22</t>
  </si>
  <si>
    <t>AS12945S20</t>
  </si>
  <si>
    <t>AS12945S17</t>
  </si>
  <si>
    <t>AS12945P17</t>
  </si>
  <si>
    <t>AS12945S48</t>
  </si>
  <si>
    <t>AS12945G48</t>
  </si>
  <si>
    <t>IP12945A01</t>
  </si>
  <si>
    <t>IP12945A02</t>
  </si>
  <si>
    <t>IP12945A03</t>
  </si>
  <si>
    <t>IP12945A04</t>
  </si>
  <si>
    <t>IP12947A01</t>
  </si>
  <si>
    <t>IP12947A02</t>
  </si>
  <si>
    <t>IP12947A03</t>
  </si>
  <si>
    <t>IP12947A04</t>
  </si>
  <si>
    <t>Screw M6 35 mm</t>
  </si>
  <si>
    <t>300x300 mm 5 mm stainless steel sheet</t>
  </si>
  <si>
    <t>300x300 mm 1 mm stainless steel sheet</t>
  </si>
  <si>
    <t>Rivet 6 mm</t>
  </si>
  <si>
    <t>220 mm lid with handle</t>
  </si>
  <si>
    <t>220 mm lid polished</t>
  </si>
  <si>
    <t>220 mm lid pressed</t>
  </si>
  <si>
    <t>250 mm 1 mm stailess steel disc</t>
  </si>
  <si>
    <t>220 mm pot base final</t>
  </si>
  <si>
    <t>220 mm pot base phase 2</t>
  </si>
  <si>
    <t>220 mm pot base phase 1</t>
  </si>
  <si>
    <t>250 mm 5 mm stailess steel disc</t>
  </si>
  <si>
    <t>17 cm glass lid</t>
  </si>
  <si>
    <t>17 cm stainless steel lid</t>
  </si>
  <si>
    <t>2l 17 cm stainless steel souce pan</t>
  </si>
  <si>
    <t>2l 17 cm stainless steel pot</t>
  </si>
  <si>
    <t>3l 20 cm stainless steel pot</t>
  </si>
  <si>
    <t>22 cm stainless steel lid</t>
  </si>
  <si>
    <t>5l 22 cm stainless steel pot bottom</t>
  </si>
  <si>
    <t>5l 22 cm stainless steel pot</t>
  </si>
  <si>
    <t>5l 22 cm aluminium and teflon non stick pot</t>
  </si>
  <si>
    <t>Stainless steel handle model R11</t>
  </si>
  <si>
    <t>Stainless steel handle model S26</t>
  </si>
  <si>
    <t>250x250 mm 1mm stainless steel sheet</t>
  </si>
  <si>
    <t>250x250 mm 5mm stainless steel sheet</t>
  </si>
  <si>
    <t>Stainless steel handle model R12</t>
  </si>
  <si>
    <t>Stainless steel handle model U6</t>
  </si>
  <si>
    <t>insert into Manufacturing_Operation()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</si>
</sst>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952F67CB-DFCC-47DB-A7C6-BF5905844660}" autoFormatId="16" applyNumberFormats="0" applyBorderFormats="0" applyFontFormats="0" applyPatternFormats="0" applyAlignmentFormats="0" applyWidthHeightFormats="0">
  <queryTableRefresh nextId="3">
    <queryTableFields count="2">
      <queryTableField id="1" name="part_number" tableColumnId="1"/>
      <queryTableField id="2" name="descript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6BDED704-E049-43C9-B2F1-E3A781FA1592}" autoFormatId="16" applyNumberFormats="0" applyBorderFormats="0" applyFontFormats="0" applyPatternFormats="0" applyAlignmentFormats="0" applyWidthHeightFormats="0">
  <queryTableRefresh nextId="3">
    <queryTableFields count="2">
      <queryTableField id="1" name="operation_desc" tableColumnId="1"/>
      <queryTableField id="2" name="Attribute:i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A7AF814-3B88-4CBF-A411-6D34F6DCF0DE}" autoFormatId="16" applyNumberFormats="0" applyBorderFormats="0" applyFontFormats="0" applyPatternFormats="0" applyAlignmentFormats="0" applyWidthHeightFormats="0">
  <queryTableRefresh nextId="2">
    <queryTableFields count="1">
      <queryTableField id="1" name="Attribute: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E6D0E-C496-4E14-94F1-68F0A68359A1}" name="part" displayName="part" ref="A1:B28" tableType="queryTable" totalsRowShown="0">
  <autoFilter ref="A1:B28" xr:uid="{C48E6D0E-C496-4E14-94F1-68F0A68359A1}"/>
  <tableColumns count="2">
    <tableColumn id="1" xr3:uid="{CB4ECD73-E840-41CD-87D6-6AF3AE7E301F}" uniqueName="1" name="part_number" queryTableFieldId="1" dataDxfId="1"/>
    <tableColumn id="2" xr3:uid="{97323BE7-DA50-476B-AC89-E4A5392F2110}" uniqueName="2" name="description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5C91FD-2209-4ED4-962B-9052935BBC78}" name="operation_type" displayName="operation_type" ref="A1:B19" tableType="queryTable" totalsRowShown="0">
  <autoFilter ref="A1:B19" xr:uid="{BF5C91FD-2209-4ED4-962B-9052935BBC78}"/>
  <tableColumns count="2">
    <tableColumn id="1" xr3:uid="{96796C3F-820A-47CB-9CEA-17BDE5A4F9D2}" uniqueName="1" name="operation_desc" queryTableFieldId="1" dataDxfId="3"/>
    <tableColumn id="2" xr3:uid="{951BFF87-4FAC-4152-A6EA-FD8604083BC0}" uniqueName="2" name="Attribute:i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B74A24-F4BA-46D0-A02E-6F962EB57EC4}" name="boo" displayName="boo" ref="B1:B4" tableType="queryTable" totalsRowShown="0">
  <autoFilter ref="B1:B4" xr:uid="{6AB74A24-F4BA-46D0-A02E-6F962EB57EC4}"/>
  <tableColumns count="1">
    <tableColumn id="1" xr3:uid="{2B81D8AD-FD55-4F6A-9CD3-4D7A3D25B464}" uniqueName="1" name="Attribute:id" queryTableFieldId="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B987-C51F-42AD-ADD7-35E3800EDEC8}">
  <dimension ref="A1:E28"/>
  <sheetViews>
    <sheetView topLeftCell="A4" workbookViewId="0">
      <selection activeCell="D12" sqref="D12"/>
    </sheetView>
  </sheetViews>
  <sheetFormatPr defaultRowHeight="14.25" x14ac:dyDescent="0.45"/>
  <cols>
    <col min="1" max="1" width="13.1328125" bestFit="1" customWidth="1"/>
    <col min="2" max="2" width="36.265625" bestFit="1" customWidth="1"/>
  </cols>
  <sheetData>
    <row r="1" spans="1:5" x14ac:dyDescent="0.45">
      <c r="A1" t="s">
        <v>0</v>
      </c>
      <c r="B1" t="s">
        <v>1</v>
      </c>
    </row>
    <row r="2" spans="1:5" x14ac:dyDescent="0.45">
      <c r="A2" s="1" t="s">
        <v>25</v>
      </c>
      <c r="B2" s="1" t="s">
        <v>49</v>
      </c>
      <c r="E2" t="str">
        <f>_xlfn.CONCAT("insert into Part(Part_ID, Part_Description) values ('",part[[#This Row],[part_number]],"', '",part[[#This Row],[description]],"');")</f>
        <v>insert into Part(Part_ID, Part_Description) values ('PN12344A21', 'Screw M6 35 mm');</v>
      </c>
    </row>
    <row r="3" spans="1:5" x14ac:dyDescent="0.45">
      <c r="A3" s="1" t="s">
        <v>26</v>
      </c>
      <c r="B3" s="1" t="s">
        <v>50</v>
      </c>
      <c r="E3" t="str">
        <f>_xlfn.CONCAT("insert into Part(Part_ID, Part_Description) values ('",part[[#This Row],[part_number]],"', '",part[[#This Row],[description]],"');")</f>
        <v>insert into Part(Part_ID, Part_Description) values ('PN52384R50', '300x300 mm 5 mm stainless steel sheet');</v>
      </c>
    </row>
    <row r="4" spans="1:5" x14ac:dyDescent="0.45">
      <c r="A4" s="1" t="s">
        <v>27</v>
      </c>
      <c r="B4" s="1" t="s">
        <v>51</v>
      </c>
      <c r="E4" t="str">
        <f>_xlfn.CONCAT("insert into Part(Part_ID, Part_Description) values ('",part[[#This Row],[part_number]],"', '",part[[#This Row],[description]],"');")</f>
        <v>insert into Part(Part_ID, Part_Description) values ('PN52384R10', '300x300 mm 1 mm stainless steel sheet');</v>
      </c>
    </row>
    <row r="5" spans="1:5" x14ac:dyDescent="0.45">
      <c r="A5" s="1" t="s">
        <v>28</v>
      </c>
      <c r="B5" s="1" t="s">
        <v>52</v>
      </c>
      <c r="E5" t="str">
        <f>_xlfn.CONCAT("insert into Part(Part_ID, Part_Description) values ('",part[[#This Row],[part_number]],"', '",part[[#This Row],[description]],"');")</f>
        <v>insert into Part(Part_ID, Part_Description) values ('PN18544A21', 'Rivet 6 mm');</v>
      </c>
    </row>
    <row r="6" spans="1:5" x14ac:dyDescent="0.45">
      <c r="A6" s="1" t="s">
        <v>29</v>
      </c>
      <c r="B6" s="1" t="s">
        <v>75</v>
      </c>
      <c r="E6" t="str">
        <f>_xlfn.CONCAT("insert into Part(Part_ID, Part_Description) values ('",part[[#This Row],[part_number]],"', '",part[[#This Row],[description]],"');")</f>
        <v>insert into Part(Part_ID, Part_Description) values ('PN18544C21', 'Stainless steel handle model U6');</v>
      </c>
    </row>
    <row r="7" spans="1:5" x14ac:dyDescent="0.45">
      <c r="A7" s="1" t="s">
        <v>30</v>
      </c>
      <c r="B7" s="1" t="s">
        <v>74</v>
      </c>
      <c r="E7" t="str">
        <f>_xlfn.CONCAT("insert into Part(Part_ID, Part_Description) values ('",part[[#This Row],[part_number]],"', '",part[[#This Row],[description]],"');")</f>
        <v>insert into Part(Part_ID, Part_Description) values ('PN18324C54', 'Stainless steel handle model R12');</v>
      </c>
    </row>
    <row r="8" spans="1:5" x14ac:dyDescent="0.45">
      <c r="A8" s="1" t="s">
        <v>31</v>
      </c>
      <c r="B8" s="1" t="s">
        <v>73</v>
      </c>
      <c r="E8" t="str">
        <f>_xlfn.CONCAT("insert into Part(Part_ID, Part_Description) values ('",part[[#This Row],[part_number]],"', '",part[[#This Row],[description]],"');")</f>
        <v>insert into Part(Part_ID, Part_Description) values ('PN52384R45', '250x250 mm 5mm stainless steel sheet');</v>
      </c>
    </row>
    <row r="9" spans="1:5" x14ac:dyDescent="0.45">
      <c r="A9" s="1" t="s">
        <v>32</v>
      </c>
      <c r="B9" s="1" t="s">
        <v>72</v>
      </c>
      <c r="E9" t="str">
        <f>_xlfn.CONCAT("insert into Part(Part_ID, Part_Description) values ('",part[[#This Row],[part_number]],"', '",part[[#This Row],[description]],"');")</f>
        <v>insert into Part(Part_ID, Part_Description) values ('PN52384R12', '250x250 mm 1mm stainless steel sheet');</v>
      </c>
    </row>
    <row r="10" spans="1:5" x14ac:dyDescent="0.45">
      <c r="A10" s="1" t="s">
        <v>33</v>
      </c>
      <c r="B10" s="1" t="s">
        <v>71</v>
      </c>
      <c r="E10" t="str">
        <f>_xlfn.CONCAT("insert into Part(Part_ID, Part_Description) values ('",part[[#This Row],[part_number]],"', '",part[[#This Row],[description]],"');")</f>
        <v>insert into Part(Part_ID, Part_Description) values ('PN18324C91', 'Stainless steel handle model S26');</v>
      </c>
    </row>
    <row r="11" spans="1:5" x14ac:dyDescent="0.45">
      <c r="A11" s="1" t="s">
        <v>34</v>
      </c>
      <c r="B11" s="1" t="s">
        <v>70</v>
      </c>
      <c r="E11" t="str">
        <f>_xlfn.CONCAT("insert into Part(Part_ID, Part_Description) values ('",part[[#This Row],[part_number]],"', '",part[[#This Row],[description]],"');")</f>
        <v>insert into Part(Part_ID, Part_Description) values ('PN18324C51', 'Stainless steel handle model R11');</v>
      </c>
    </row>
    <row r="12" spans="1:5" x14ac:dyDescent="0.45">
      <c r="A12" s="1" t="s">
        <v>35</v>
      </c>
      <c r="B12" s="1" t="s">
        <v>69</v>
      </c>
      <c r="E12" t="str">
        <f>_xlfn.CONCAT("insert into Part(Part_ID, Part_Description) values ('",part[[#This Row],[part_number]],"', '",part[[#This Row],[description]],"');")</f>
        <v>insert into Part(Part_ID, Part_Description) values ('AS12945T22', '5l 22 cm aluminium and teflon non stick pot');</v>
      </c>
    </row>
    <row r="13" spans="1:5" x14ac:dyDescent="0.45">
      <c r="A13" s="1" t="s">
        <v>24</v>
      </c>
      <c r="B13" s="1" t="s">
        <v>68</v>
      </c>
      <c r="E13" t="str">
        <f>_xlfn.CONCAT("insert into Part(Part_ID, Part_Description) values ('",part[[#This Row],[part_number]],"', '",part[[#This Row],[description]],"');")</f>
        <v>insert into Part(Part_ID, Part_Description) values ('AS12945S22', '5l 22 cm stainless steel pot');</v>
      </c>
    </row>
    <row r="14" spans="1:5" x14ac:dyDescent="0.45">
      <c r="A14" s="1" t="s">
        <v>22</v>
      </c>
      <c r="B14" s="1" t="s">
        <v>67</v>
      </c>
      <c r="E14" t="str">
        <f>_xlfn.CONCAT("insert into Part(Part_ID, Part_Description) values ('",part[[#This Row],[part_number]],"', '",part[[#This Row],[description]],"');")</f>
        <v>insert into Part(Part_ID, Part_Description) values ('AS12946S22', '5l 22 cm stainless steel pot bottom');</v>
      </c>
    </row>
    <row r="15" spans="1:5" x14ac:dyDescent="0.45">
      <c r="A15" s="1" t="s">
        <v>23</v>
      </c>
      <c r="B15" s="1" t="s">
        <v>66</v>
      </c>
      <c r="E15" t="str">
        <f>_xlfn.CONCAT("insert into Part(Part_ID, Part_Description) values ('",part[[#This Row],[part_number]],"', '",part[[#This Row],[description]],"');")</f>
        <v>insert into Part(Part_ID, Part_Description) values ('AS12947S22', '22 cm stainless steel lid');</v>
      </c>
    </row>
    <row r="16" spans="1:5" x14ac:dyDescent="0.45">
      <c r="A16" s="1" t="s">
        <v>36</v>
      </c>
      <c r="B16" s="1" t="s">
        <v>65</v>
      </c>
      <c r="E16" t="str">
        <f>_xlfn.CONCAT("insert into Part(Part_ID, Part_Description) values ('",part[[#This Row],[part_number]],"', '",part[[#This Row],[description]],"');")</f>
        <v>insert into Part(Part_ID, Part_Description) values ('AS12945S20', '3l 20 cm stainless steel pot');</v>
      </c>
    </row>
    <row r="17" spans="1:5" x14ac:dyDescent="0.45">
      <c r="A17" s="1" t="s">
        <v>37</v>
      </c>
      <c r="B17" s="1" t="s">
        <v>64</v>
      </c>
      <c r="E17" t="str">
        <f>_xlfn.CONCAT("insert into Part(Part_ID, Part_Description) values ('",part[[#This Row],[part_number]],"', '",part[[#This Row],[description]],"');")</f>
        <v>insert into Part(Part_ID, Part_Description) values ('AS12945S17', '2l 17 cm stainless steel pot');</v>
      </c>
    </row>
    <row r="18" spans="1:5" x14ac:dyDescent="0.45">
      <c r="A18" s="1" t="s">
        <v>38</v>
      </c>
      <c r="B18" s="1" t="s">
        <v>63</v>
      </c>
      <c r="E18" t="str">
        <f>_xlfn.CONCAT("insert into Part(Part_ID, Part_Description) values ('",part[[#This Row],[part_number]],"', '",part[[#This Row],[description]],"');")</f>
        <v>insert into Part(Part_ID, Part_Description) values ('AS12945P17', '2l 17 cm stainless steel souce pan');</v>
      </c>
    </row>
    <row r="19" spans="1:5" x14ac:dyDescent="0.45">
      <c r="A19" s="1" t="s">
        <v>39</v>
      </c>
      <c r="B19" s="1" t="s">
        <v>62</v>
      </c>
      <c r="E19" t="str">
        <f>_xlfn.CONCAT("insert into Part(Part_ID, Part_Description) values ('",part[[#This Row],[part_number]],"', '",part[[#This Row],[description]],"');")</f>
        <v>insert into Part(Part_ID, Part_Description) values ('AS12945S48', '17 cm stainless steel lid');</v>
      </c>
    </row>
    <row r="20" spans="1:5" x14ac:dyDescent="0.45">
      <c r="A20" s="1" t="s">
        <v>40</v>
      </c>
      <c r="B20" s="1" t="s">
        <v>61</v>
      </c>
      <c r="E20" t="str">
        <f>_xlfn.CONCAT("insert into Part(Part_ID, Part_Description) values ('",part[[#This Row],[part_number]],"', '",part[[#This Row],[description]],"');")</f>
        <v>insert into Part(Part_ID, Part_Description) values ('AS12945G48', '17 cm glass lid');</v>
      </c>
    </row>
    <row r="21" spans="1:5" x14ac:dyDescent="0.45">
      <c r="A21" s="1" t="s">
        <v>41</v>
      </c>
      <c r="B21" s="1" t="s">
        <v>60</v>
      </c>
      <c r="E21" t="str">
        <f>_xlfn.CONCAT("insert into Part(Part_ID, Part_Description) values ('",part[[#This Row],[part_number]],"', '",part[[#This Row],[description]],"');")</f>
        <v>insert into Part(Part_ID, Part_Description) values ('IP12945A01', '250 mm 5 mm stailess steel disc');</v>
      </c>
    </row>
    <row r="22" spans="1:5" x14ac:dyDescent="0.45">
      <c r="A22" s="1" t="s">
        <v>42</v>
      </c>
      <c r="B22" s="1" t="s">
        <v>59</v>
      </c>
      <c r="E22" t="str">
        <f>_xlfn.CONCAT("insert into Part(Part_ID, Part_Description) values ('",part[[#This Row],[part_number]],"', '",part[[#This Row],[description]],"');")</f>
        <v>insert into Part(Part_ID, Part_Description) values ('IP12945A02', '220 mm pot base phase 1');</v>
      </c>
    </row>
    <row r="23" spans="1:5" x14ac:dyDescent="0.45">
      <c r="A23" s="1" t="s">
        <v>43</v>
      </c>
      <c r="B23" s="1" t="s">
        <v>58</v>
      </c>
      <c r="E23" t="str">
        <f>_xlfn.CONCAT("insert into Part(Part_ID, Part_Description) values ('",part[[#This Row],[part_number]],"', '",part[[#This Row],[description]],"');")</f>
        <v>insert into Part(Part_ID, Part_Description) values ('IP12945A03', '220 mm pot base phase 2');</v>
      </c>
    </row>
    <row r="24" spans="1:5" x14ac:dyDescent="0.45">
      <c r="A24" s="1" t="s">
        <v>44</v>
      </c>
      <c r="B24" s="1" t="s">
        <v>57</v>
      </c>
      <c r="E24" t="str">
        <f>_xlfn.CONCAT("insert into Part(Part_ID, Part_Description) values ('",part[[#This Row],[part_number]],"', '",part[[#This Row],[description]],"');")</f>
        <v>insert into Part(Part_ID, Part_Description) values ('IP12945A04', '220 mm pot base final');</v>
      </c>
    </row>
    <row r="25" spans="1:5" x14ac:dyDescent="0.45">
      <c r="A25" s="1" t="s">
        <v>45</v>
      </c>
      <c r="B25" s="1" t="s">
        <v>56</v>
      </c>
      <c r="E25" t="str">
        <f>_xlfn.CONCAT("insert into Part(Part_ID, Part_Description) values ('",part[[#This Row],[part_number]],"', '",part[[#This Row],[description]],"');")</f>
        <v>insert into Part(Part_ID, Part_Description) values ('IP12947A01', '250 mm 1 mm stailess steel disc');</v>
      </c>
    </row>
    <row r="26" spans="1:5" x14ac:dyDescent="0.45">
      <c r="A26" s="1" t="s">
        <v>46</v>
      </c>
      <c r="B26" s="1" t="s">
        <v>55</v>
      </c>
      <c r="E26" t="str">
        <f>_xlfn.CONCAT("insert into Part(Part_ID, Part_Description) values ('",part[[#This Row],[part_number]],"', '",part[[#This Row],[description]],"');")</f>
        <v>insert into Part(Part_ID, Part_Description) values ('IP12947A02', '220 mm lid pressed');</v>
      </c>
    </row>
    <row r="27" spans="1:5" x14ac:dyDescent="0.45">
      <c r="A27" s="1" t="s">
        <v>47</v>
      </c>
      <c r="B27" s="1" t="s">
        <v>54</v>
      </c>
      <c r="E27" t="str">
        <f>_xlfn.CONCAT("insert into Part(Part_ID, Part_Description) values ('",part[[#This Row],[part_number]],"', '",part[[#This Row],[description]],"');")</f>
        <v>insert into Part(Part_ID, Part_Description) values ('IP12947A03', '220 mm lid polished');</v>
      </c>
    </row>
    <row r="28" spans="1:5" x14ac:dyDescent="0.45">
      <c r="A28" s="1" t="s">
        <v>48</v>
      </c>
      <c r="B28" s="1" t="s">
        <v>53</v>
      </c>
      <c r="E28" t="str">
        <f>_xlfn.CONCAT("insert into Part(Part_ID, Part_Description) values ('",part[[#This Row],[part_number]],"', '",part[[#This Row],[description]],"');")</f>
        <v>insert into Part(Part_ID, Part_Description) values ('IP12947A04', '220 mm lid with handle');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3AA5-13A6-4C9A-ADA4-56F86FD887D6}">
  <dimension ref="A1:E19"/>
  <sheetViews>
    <sheetView workbookViewId="0">
      <selection activeCell="A18" sqref="A18"/>
    </sheetView>
  </sheetViews>
  <sheetFormatPr defaultRowHeight="14.25" x14ac:dyDescent="0.45"/>
  <cols>
    <col min="1" max="1" width="20.9296875" bestFit="1" customWidth="1"/>
    <col min="2" max="2" width="11.9296875" bestFit="1" customWidth="1"/>
  </cols>
  <sheetData>
    <row r="1" spans="1:2" x14ac:dyDescent="0.45">
      <c r="A1" t="s">
        <v>2</v>
      </c>
      <c r="B1" t="s">
        <v>3</v>
      </c>
    </row>
    <row r="2" spans="1:2" x14ac:dyDescent="0.45">
      <c r="A2" s="1" t="s">
        <v>4</v>
      </c>
      <c r="B2">
        <v>5647</v>
      </c>
    </row>
    <row r="3" spans="1:2" x14ac:dyDescent="0.45">
      <c r="A3" s="1" t="s">
        <v>5</v>
      </c>
      <c r="B3">
        <v>5649</v>
      </c>
    </row>
    <row r="4" spans="1:2" x14ac:dyDescent="0.45">
      <c r="A4" s="1" t="s">
        <v>6</v>
      </c>
      <c r="B4">
        <v>5651</v>
      </c>
    </row>
    <row r="5" spans="1:2" x14ac:dyDescent="0.45">
      <c r="A5" s="1" t="s">
        <v>7</v>
      </c>
      <c r="B5">
        <v>5653</v>
      </c>
    </row>
    <row r="6" spans="1:2" x14ac:dyDescent="0.45">
      <c r="A6" s="1" t="s">
        <v>8</v>
      </c>
      <c r="B6">
        <v>5655</v>
      </c>
    </row>
    <row r="7" spans="1:2" x14ac:dyDescent="0.45">
      <c r="A7" s="1" t="s">
        <v>9</v>
      </c>
      <c r="B7">
        <v>5657</v>
      </c>
    </row>
    <row r="8" spans="1:2" x14ac:dyDescent="0.45">
      <c r="A8" s="1" t="s">
        <v>10</v>
      </c>
      <c r="B8">
        <v>5659</v>
      </c>
    </row>
    <row r="9" spans="1:2" x14ac:dyDescent="0.45">
      <c r="A9" s="1" t="s">
        <v>11</v>
      </c>
      <c r="B9">
        <v>5661</v>
      </c>
    </row>
    <row r="10" spans="1:2" x14ac:dyDescent="0.45">
      <c r="A10" s="1" t="s">
        <v>12</v>
      </c>
      <c r="B10">
        <v>5663</v>
      </c>
    </row>
    <row r="11" spans="1:2" x14ac:dyDescent="0.45">
      <c r="A11" s="1" t="s">
        <v>13</v>
      </c>
      <c r="B11">
        <v>5665</v>
      </c>
    </row>
    <row r="12" spans="1:2" x14ac:dyDescent="0.45">
      <c r="A12" s="1" t="s">
        <v>14</v>
      </c>
      <c r="B12">
        <v>5667</v>
      </c>
    </row>
    <row r="13" spans="1:2" x14ac:dyDescent="0.45">
      <c r="A13" s="1" t="s">
        <v>15</v>
      </c>
      <c r="B13">
        <v>5669</v>
      </c>
    </row>
    <row r="14" spans="1:2" x14ac:dyDescent="0.45">
      <c r="A14" s="1" t="s">
        <v>16</v>
      </c>
      <c r="B14">
        <v>5671</v>
      </c>
    </row>
    <row r="15" spans="1:2" x14ac:dyDescent="0.45">
      <c r="A15" s="1" t="s">
        <v>17</v>
      </c>
      <c r="B15">
        <v>5681</v>
      </c>
    </row>
    <row r="16" spans="1:2" x14ac:dyDescent="0.45">
      <c r="A16" s="1" t="s">
        <v>18</v>
      </c>
      <c r="B16">
        <v>5682</v>
      </c>
    </row>
    <row r="17" spans="1:5" x14ac:dyDescent="0.45">
      <c r="A17" s="1" t="s">
        <v>19</v>
      </c>
      <c r="B17">
        <v>5683</v>
      </c>
    </row>
    <row r="18" spans="1:5" x14ac:dyDescent="0.45">
      <c r="A18" s="1" t="s">
        <v>20</v>
      </c>
      <c r="B18">
        <v>5685</v>
      </c>
      <c r="E18" t="s">
        <v>76</v>
      </c>
    </row>
    <row r="19" spans="1:5" x14ac:dyDescent="0.45">
      <c r="A19" s="1" t="s">
        <v>21</v>
      </c>
      <c r="B19">
        <v>5688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13E7-1D27-485B-9613-5ACEDAC5425D}">
  <dimension ref="B1:B4"/>
  <sheetViews>
    <sheetView tabSelected="1" workbookViewId="0">
      <selection activeCell="I8" sqref="I8"/>
    </sheetView>
  </sheetViews>
  <sheetFormatPr defaultRowHeight="14.25" x14ac:dyDescent="0.45"/>
  <cols>
    <col min="2" max="2" width="11.9296875" bestFit="1" customWidth="1"/>
  </cols>
  <sheetData>
    <row r="1" spans="2:2" x14ac:dyDescent="0.45">
      <c r="B1" t="s">
        <v>3</v>
      </c>
    </row>
    <row r="2" spans="2:2" x14ac:dyDescent="0.45">
      <c r="B2" s="1" t="s">
        <v>22</v>
      </c>
    </row>
    <row r="3" spans="2:2" x14ac:dyDescent="0.45">
      <c r="B3" s="1" t="s">
        <v>23</v>
      </c>
    </row>
    <row r="4" spans="2:2" x14ac:dyDescent="0.45">
      <c r="B4" s="1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DFEE-330D-4CAF-AFF4-13B301B01F8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E69D27-05A7-4BFC-8DAD-6AC0BDCDBC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part</vt:lpstr>
      <vt:lpstr>operation_type</vt:lpstr>
      <vt:lpstr>boo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Miguel Monteiro Pereira</dc:creator>
  <cp:lastModifiedBy>Diogo Miguel Monteiro Pereira</cp:lastModifiedBy>
  <dcterms:created xsi:type="dcterms:W3CDTF">2024-11-12T09:44:00Z</dcterms:created>
  <dcterms:modified xsi:type="dcterms:W3CDTF">2024-11-12T13:23:41Z</dcterms:modified>
</cp:coreProperties>
</file>