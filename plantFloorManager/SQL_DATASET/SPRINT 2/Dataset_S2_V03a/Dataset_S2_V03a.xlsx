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0cms6-my.sharepoint.com/personal/diogopereira_0cms6_onmicrosoft_com/Documents/Faculdade/Projeto Integrador/Dataset_S2_V03a/"/>
    </mc:Choice>
  </mc:AlternateContent>
  <xr:revisionPtr revIDLastSave="18" documentId="11_AD4DF034E34935FBC521DCE9679E47C65BDEDD8D" xr6:coauthVersionLast="47" xr6:coauthVersionMax="47" xr10:uidLastSave="{696463F3-45A6-4010-8868-114475767FFA}"/>
  <bookViews>
    <workbookView xWindow="-4965" yWindow="8002" windowWidth="21795" windowHeight="12975" xr2:uid="{00000000-000D-0000-FFFF-FFFF00000000}"/>
  </bookViews>
  <sheets>
    <sheet name="part" sheetId="3" r:id="rId1"/>
    <sheet name="boo" sheetId="2" r:id="rId2"/>
  </sheets>
  <definedNames>
    <definedName name="DadosExternos_1" localSheetId="1" hidden="1">boo!$A$1:$A$7</definedName>
    <definedName name="DadosExternos_2" localSheetId="0" hidden="1">part!$A$1:$C$37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0D815F-8650-4992-9735-DE269A59EB5B}" keepAlive="1" name="Consulta - boo" description="Ligação à consulta 'boo' no livro." type="5" refreshedVersion="8" background="1" saveData="1">
    <dbPr connection="Provider=Microsoft.Mashup.OleDb.1;Data Source=$Workbook$;Location=boo;Extended Properties=&quot;&quot;" command="SELECT * FROM [boo]"/>
  </connection>
  <connection id="2" xr16:uid="{B164A1C7-ACF6-4B10-A939-51D091728472}" keepAlive="1" name="Consulta - part" description="Ligação à consulta 'part' no livro." type="5" refreshedVersion="8" background="1" saveData="1">
    <dbPr connection="Provider=Microsoft.Mashup.OleDb.1;Data Source=$Workbook$;Location=part;Extended Properties=&quot;&quot;" command="SELECT * FROM [part]"/>
  </connection>
</connections>
</file>

<file path=xl/sharedStrings.xml><?xml version="1.0" encoding="utf-8"?>
<sst xmlns="http://schemas.openxmlformats.org/spreadsheetml/2006/main" count="122" uniqueCount="84">
  <si>
    <t>Attribute:id</t>
  </si>
  <si>
    <t>AS12946S22</t>
  </si>
  <si>
    <t>AS12947S22</t>
  </si>
  <si>
    <t>AS12945S22</t>
  </si>
  <si>
    <t>AS12946S20</t>
  </si>
  <si>
    <t>AS12947S20</t>
  </si>
  <si>
    <t>AS12945S20</t>
  </si>
  <si>
    <t>part_number</t>
  </si>
  <si>
    <t>description</t>
  </si>
  <si>
    <t>part_type</t>
  </si>
  <si>
    <t>PN12344A21</t>
  </si>
  <si>
    <t>Screw M6 35 mm</t>
  </si>
  <si>
    <t>Component</t>
  </si>
  <si>
    <t>PN52384R50</t>
  </si>
  <si>
    <t>300x300 mm 5 mm stainless steel sheet</t>
  </si>
  <si>
    <t>PN52384R10</t>
  </si>
  <si>
    <t>300x300 mm 1 mm stainless steel sheet</t>
  </si>
  <si>
    <t>PN18544A21</t>
  </si>
  <si>
    <t>Rivet 6 mm</t>
  </si>
  <si>
    <t>PN18544C21</t>
  </si>
  <si>
    <t>Stainless steel handle model U6</t>
  </si>
  <si>
    <t>PN18324C54</t>
  </si>
  <si>
    <t>Stainless steel handle model R12</t>
  </si>
  <si>
    <t>PN52384R45</t>
  </si>
  <si>
    <t>250x250 mm 5mm stainless steel sheet</t>
  </si>
  <si>
    <t>PN52384R12</t>
  </si>
  <si>
    <t>250x250 mm 1mm stainless steel sheet</t>
  </si>
  <si>
    <t>PN18324C91</t>
  </si>
  <si>
    <t>Stainless steel handle model S26</t>
  </si>
  <si>
    <t>PN18324C51</t>
  </si>
  <si>
    <t>Stainless steel handle model R11</t>
  </si>
  <si>
    <t>AS12945T22</t>
  </si>
  <si>
    <t>5l 22 cm aluminium and teflon non stick pot</t>
  </si>
  <si>
    <t>Product</t>
  </si>
  <si>
    <t>5l 22 cm stainless steel pot</t>
  </si>
  <si>
    <t>5l 22 cm stainless steel pot bottom</t>
  </si>
  <si>
    <t>22 cm stainless steel lid</t>
  </si>
  <si>
    <t>3l 20 cm stainless steel pot</t>
  </si>
  <si>
    <t>3l 20 cm stainless steel pot bottom</t>
  </si>
  <si>
    <t>20 cm stainless steel lid</t>
  </si>
  <si>
    <t>AS12945S17</t>
  </si>
  <si>
    <t>2l 17 cm stainless steel pot</t>
  </si>
  <si>
    <t>AS12945P17</t>
  </si>
  <si>
    <t>2l 17 cm stainless steel souce pan</t>
  </si>
  <si>
    <t>AS12945S48</t>
  </si>
  <si>
    <t>17 cm stainless steel lid</t>
  </si>
  <si>
    <t>AS12945G48</t>
  </si>
  <si>
    <t>17 cm glass lid</t>
  </si>
  <si>
    <t>IP12945A01</t>
  </si>
  <si>
    <t>250 mm 5 mm stailess steel disc</t>
  </si>
  <si>
    <t>Intermediate Product</t>
  </si>
  <si>
    <t>IP12945A02</t>
  </si>
  <si>
    <t>220 mm pot base phase 1</t>
  </si>
  <si>
    <t>IP12945A03</t>
  </si>
  <si>
    <t>220 mm pot base phase 2</t>
  </si>
  <si>
    <t>IP12945A04</t>
  </si>
  <si>
    <t>220 mm pot base final</t>
  </si>
  <si>
    <t>IP12947A01</t>
  </si>
  <si>
    <t>250 mm 1 mm stailess steel disc</t>
  </si>
  <si>
    <t>IP12947A02</t>
  </si>
  <si>
    <t>220 mm lid pressed</t>
  </si>
  <si>
    <t>IP12947A03</t>
  </si>
  <si>
    <t>220 mm lid polished</t>
  </si>
  <si>
    <t>IP12947A04</t>
  </si>
  <si>
    <t>220 mm lid with handle</t>
  </si>
  <si>
    <t>IP12945A32</t>
  </si>
  <si>
    <t>200 mm pot base phase 1</t>
  </si>
  <si>
    <t>IP12945A33</t>
  </si>
  <si>
    <t>200 mm pot base phase 2</t>
  </si>
  <si>
    <t>IP12945A34</t>
  </si>
  <si>
    <t>200 mm pot base final</t>
  </si>
  <si>
    <t>IP12947A32</t>
  </si>
  <si>
    <t>200 mm lid pressed</t>
  </si>
  <si>
    <t>IP12947A33</t>
  </si>
  <si>
    <t>200 mm lid polished</t>
  </si>
  <si>
    <t>IP12947A34</t>
  </si>
  <si>
    <t>200 mm lid with handle</t>
  </si>
  <si>
    <t>PN94561L67</t>
  </si>
  <si>
    <t>Coolube 2210XP</t>
  </si>
  <si>
    <t>Raw Material</t>
  </si>
  <si>
    <t>insert into Part_Type(Part_Type) values (Component);</t>
  </si>
  <si>
    <t>insert into Part_Type(Part_Type) values (Product);</t>
  </si>
  <si>
    <t>insert into Part_Type(Part_Type) values (Intermediate Product);</t>
  </si>
  <si>
    <t>insert into Part_Type(Part_Type) values (Raw Material);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</si>
</sst>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596A5816-8B75-4FC8-8BC8-92F1B435456E}" autoFormatId="16" applyNumberFormats="0" applyBorderFormats="0" applyFontFormats="0" applyPatternFormats="0" applyAlignmentFormats="0" applyWidthHeightFormats="0">
  <queryTableRefresh nextId="4">
    <queryTableFields count="3">
      <queryTableField id="1" name="part_number" tableColumnId="1"/>
      <queryTableField id="2" name="description" tableColumnId="2"/>
      <queryTableField id="3" name="part_typ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C7280AA-693E-43F2-89F2-C526271C537A}" autoFormatId="16" applyNumberFormats="0" applyBorderFormats="0" applyFontFormats="0" applyPatternFormats="0" applyAlignmentFormats="0" applyWidthHeightFormats="0">
  <queryTableRefresh nextId="2">
    <queryTableFields count="1">
      <queryTableField id="1" name="Attribute: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2A499-6A94-4D97-AB72-9529D4D74FF1}" name="part" displayName="part" ref="A1:C37" tableType="queryTable" totalsRowShown="0">
  <autoFilter ref="A1:C37" xr:uid="{48B2A499-6A94-4D97-AB72-9529D4D74FF1}"/>
  <tableColumns count="3">
    <tableColumn id="1" xr3:uid="{4FD2A1B8-CF25-404C-95D8-13ADA93DCE65}" uniqueName="1" name="part_number" queryTableFieldId="1" dataDxfId="2"/>
    <tableColumn id="2" xr3:uid="{E1B39DD0-2246-4326-BCAA-FD113026A9EC}" uniqueName="2" name="description" queryTableFieldId="2" dataDxfId="1"/>
    <tableColumn id="3" xr3:uid="{9B31D2A4-D4FB-470D-A539-42EFF5F7A644}" uniqueName="3" name="part_typ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A7066-0754-45FD-8B25-8D511F484FA7}" name="boo" displayName="boo" ref="A1:A7" tableType="queryTable" totalsRowShown="0">
  <autoFilter ref="A1:A7" xr:uid="{AECA7066-0754-45FD-8B25-8D511F484FA7}"/>
  <tableColumns count="1">
    <tableColumn id="1" xr3:uid="{ECD66238-D586-4171-A157-B4262B45E07B}" uniqueName="1" name="Attribute:id" queryTableFieldId="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E885-D7A4-4AEC-8DE9-14E74E02054B}">
  <dimension ref="A1:E44"/>
  <sheetViews>
    <sheetView tabSelected="1" topLeftCell="A13" workbookViewId="0">
      <selection activeCell="G21" sqref="G21"/>
    </sheetView>
  </sheetViews>
  <sheetFormatPr defaultRowHeight="15" x14ac:dyDescent="0.25"/>
  <cols>
    <col min="1" max="1" width="14.85546875" bestFit="1" customWidth="1"/>
    <col min="2" max="2" width="40.28515625" bestFit="1" customWidth="1"/>
    <col min="3" max="3" width="20.28515625" bestFit="1" customWidth="1"/>
  </cols>
  <sheetData>
    <row r="1" spans="1:5" x14ac:dyDescent="0.25">
      <c r="A1" t="s">
        <v>7</v>
      </c>
      <c r="B1" t="s">
        <v>8</v>
      </c>
      <c r="C1" t="s">
        <v>9</v>
      </c>
    </row>
    <row r="2" spans="1:5" x14ac:dyDescent="0.25">
      <c r="A2" s="1" t="s">
        <v>10</v>
      </c>
      <c r="B2" s="1" t="s">
        <v>11</v>
      </c>
      <c r="C2" s="1" t="s">
        <v>12</v>
      </c>
      <c r="E2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('PN12344A21', 'Screw M6 35 mm', 'Component');</v>
      </c>
    </row>
    <row r="3" spans="1:5" x14ac:dyDescent="0.25">
      <c r="A3" s="1" t="s">
        <v>13</v>
      </c>
      <c r="B3" s="1" t="s">
        <v>14</v>
      </c>
      <c r="C3" s="1" t="s">
        <v>12</v>
      </c>
      <c r="E3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('PN52384R50', '300x300 mm 5 mm stainless steel sheet', 'Component');</v>
      </c>
    </row>
    <row r="4" spans="1:5" x14ac:dyDescent="0.25">
      <c r="A4" s="1" t="s">
        <v>15</v>
      </c>
      <c r="B4" s="1" t="s">
        <v>16</v>
      </c>
      <c r="C4" s="1" t="s">
        <v>12</v>
      </c>
      <c r="E4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('PN52384R10', '300x300 mm 1 mm stainless steel sheet', 'Component');</v>
      </c>
    </row>
    <row r="5" spans="1:5" x14ac:dyDescent="0.25">
      <c r="A5" s="1" t="s">
        <v>17</v>
      </c>
      <c r="B5" s="1" t="s">
        <v>18</v>
      </c>
      <c r="C5" s="1" t="s">
        <v>12</v>
      </c>
      <c r="E5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('PN18544A21', 'Rivet 6 mm', 'Component');</v>
      </c>
    </row>
    <row r="6" spans="1:5" x14ac:dyDescent="0.25">
      <c r="A6" s="1" t="s">
        <v>19</v>
      </c>
      <c r="B6" s="1" t="s">
        <v>20</v>
      </c>
      <c r="C6" s="1" t="s">
        <v>12</v>
      </c>
      <c r="E6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('PN18544C21', 'Stainless steel handle model U6', 'Component');</v>
      </c>
    </row>
    <row r="7" spans="1:5" x14ac:dyDescent="0.25">
      <c r="A7" s="1" t="s">
        <v>21</v>
      </c>
      <c r="B7" s="1" t="s">
        <v>22</v>
      </c>
      <c r="C7" s="1" t="s">
        <v>12</v>
      </c>
      <c r="E7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('PN18324C54', 'Stainless steel handle model R12', 'Component');</v>
      </c>
    </row>
    <row r="8" spans="1:5" x14ac:dyDescent="0.25">
      <c r="A8" s="1" t="s">
        <v>23</v>
      </c>
      <c r="B8" s="1" t="s">
        <v>24</v>
      </c>
      <c r="C8" s="1" t="s">
        <v>12</v>
      </c>
      <c r="E8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('PN52384R45', '250x250 mm 5mm stainless steel sheet', 'Component');</v>
      </c>
    </row>
    <row r="9" spans="1:5" x14ac:dyDescent="0.25">
      <c r="A9" s="1" t="s">
        <v>25</v>
      </c>
      <c r="B9" s="1" t="s">
        <v>26</v>
      </c>
      <c r="C9" s="1" t="s">
        <v>12</v>
      </c>
      <c r="E9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('PN52384R12', '250x250 mm 1mm stainless steel sheet', 'Component');</v>
      </c>
    </row>
    <row r="10" spans="1:5" x14ac:dyDescent="0.25">
      <c r="A10" s="1" t="s">
        <v>27</v>
      </c>
      <c r="B10" s="1" t="s">
        <v>28</v>
      </c>
      <c r="C10" s="1" t="s">
        <v>12</v>
      </c>
      <c r="E10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('PN18324C91', 'Stainless steel handle model S26', 'Component');</v>
      </c>
    </row>
    <row r="11" spans="1:5" x14ac:dyDescent="0.25">
      <c r="A11" s="1" t="s">
        <v>29</v>
      </c>
      <c r="B11" s="1" t="s">
        <v>30</v>
      </c>
      <c r="C11" s="1" t="s">
        <v>12</v>
      </c>
      <c r="E11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('PN18324C51', 'Stainless steel handle model R11', 'Component');</v>
      </c>
    </row>
    <row r="12" spans="1:5" x14ac:dyDescent="0.25">
      <c r="A12" s="1" t="s">
        <v>31</v>
      </c>
      <c r="B12" s="1" t="s">
        <v>32</v>
      </c>
      <c r="C12" s="1" t="s">
        <v>33</v>
      </c>
      <c r="E12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('AS12945T22', '5l 22 cm aluminium and teflon non stick pot', 'Product');</v>
      </c>
    </row>
    <row r="13" spans="1:5" x14ac:dyDescent="0.25">
      <c r="A13" s="1" t="s">
        <v>3</v>
      </c>
      <c r="B13" s="1" t="s">
        <v>34</v>
      </c>
      <c r="C13" s="1" t="s">
        <v>33</v>
      </c>
      <c r="E13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('AS12945S22', '5l 22 cm stainless steel pot', 'Product');</v>
      </c>
    </row>
    <row r="14" spans="1:5" x14ac:dyDescent="0.25">
      <c r="A14" s="1" t="s">
        <v>1</v>
      </c>
      <c r="B14" s="1" t="s">
        <v>35</v>
      </c>
      <c r="C14" s="1" t="s">
        <v>33</v>
      </c>
      <c r="E14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('AS12946S22', '5l 22 cm stainless steel pot bottom', 'Product');</v>
      </c>
    </row>
    <row r="15" spans="1:5" x14ac:dyDescent="0.25">
      <c r="A15" s="1" t="s">
        <v>2</v>
      </c>
      <c r="B15" s="1" t="s">
        <v>36</v>
      </c>
      <c r="C15" s="1" t="s">
        <v>33</v>
      </c>
      <c r="E15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('AS12947S22', '22 cm stainless steel lid', 'Product');</v>
      </c>
    </row>
    <row r="16" spans="1:5" x14ac:dyDescent="0.25">
      <c r="A16" s="1" t="s">
        <v>6</v>
      </c>
      <c r="B16" s="1" t="s">
        <v>37</v>
      </c>
      <c r="C16" s="1" t="s">
        <v>33</v>
      </c>
      <c r="E16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('AS12945S20', '3l 20 cm stainless steel pot', 'Product');</v>
      </c>
    </row>
    <row r="17" spans="1:5" x14ac:dyDescent="0.25">
      <c r="A17" s="1" t="s">
        <v>4</v>
      </c>
      <c r="B17" s="1" t="s">
        <v>38</v>
      </c>
      <c r="C17" s="1" t="s">
        <v>33</v>
      </c>
      <c r="E17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('AS12946S20', '3l 20 cm stainless steel pot bottom', 'Product');</v>
      </c>
    </row>
    <row r="18" spans="1:5" x14ac:dyDescent="0.25">
      <c r="A18" s="1" t="s">
        <v>5</v>
      </c>
      <c r="B18" s="1" t="s">
        <v>39</v>
      </c>
      <c r="C18" s="1" t="s">
        <v>33</v>
      </c>
      <c r="E18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('AS12947S20', '20 cm stainless steel lid', 'Product');</v>
      </c>
    </row>
    <row r="19" spans="1:5" x14ac:dyDescent="0.25">
      <c r="A19" s="1" t="s">
        <v>40</v>
      </c>
      <c r="B19" s="1" t="s">
        <v>41</v>
      </c>
      <c r="C19" s="1" t="s">
        <v>33</v>
      </c>
      <c r="E19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('AS12945S17', '2l 17 cm stainless steel pot', 'Product');</v>
      </c>
    </row>
    <row r="20" spans="1:5" x14ac:dyDescent="0.25">
      <c r="A20" s="1" t="s">
        <v>42</v>
      </c>
      <c r="B20" s="1" t="s">
        <v>43</v>
      </c>
      <c r="C20" s="1" t="s">
        <v>33</v>
      </c>
      <c r="E20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('AS12945P17', '2l 17 cm stainless steel souce pan', 'Product');</v>
      </c>
    </row>
    <row r="21" spans="1:5" x14ac:dyDescent="0.25">
      <c r="A21" s="1" t="s">
        <v>44</v>
      </c>
      <c r="B21" s="1" t="s">
        <v>45</v>
      </c>
      <c r="C21" s="1" t="s">
        <v>33</v>
      </c>
      <c r="E21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('AS12945S48', '17 cm stainless steel lid', 'Product');</v>
      </c>
    </row>
    <row r="22" spans="1:5" x14ac:dyDescent="0.25">
      <c r="A22" s="1" t="s">
        <v>46</v>
      </c>
      <c r="B22" s="1" t="s">
        <v>47</v>
      </c>
      <c r="C22" s="1" t="s">
        <v>33</v>
      </c>
      <c r="E22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('AS12945G48', '17 cm glass lid', 'Product');</v>
      </c>
    </row>
    <row r="23" spans="1:5" x14ac:dyDescent="0.25">
      <c r="A23" s="1" t="s">
        <v>48</v>
      </c>
      <c r="B23" s="1" t="s">
        <v>49</v>
      </c>
      <c r="C23" s="1" t="s">
        <v>50</v>
      </c>
      <c r="E23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('IP12945A01', '250 mm 5 mm stailess steel disc', 'Intermediate Product');</v>
      </c>
    </row>
    <row r="24" spans="1:5" x14ac:dyDescent="0.25">
      <c r="A24" s="1" t="s">
        <v>51</v>
      </c>
      <c r="B24" s="1" t="s">
        <v>52</v>
      </c>
      <c r="C24" s="1" t="s">
        <v>50</v>
      </c>
      <c r="E24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('IP12945A02', '220 mm pot base phase 1', 'Intermediate Product');</v>
      </c>
    </row>
    <row r="25" spans="1:5" x14ac:dyDescent="0.25">
      <c r="A25" s="1" t="s">
        <v>53</v>
      </c>
      <c r="B25" s="1" t="s">
        <v>54</v>
      </c>
      <c r="C25" s="1" t="s">
        <v>50</v>
      </c>
      <c r="E25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('IP12945A03', '220 mm pot base phase 2', 'Intermediate Product');</v>
      </c>
    </row>
    <row r="26" spans="1:5" x14ac:dyDescent="0.25">
      <c r="A26" s="1" t="s">
        <v>55</v>
      </c>
      <c r="B26" s="1" t="s">
        <v>56</v>
      </c>
      <c r="C26" s="1" t="s">
        <v>50</v>
      </c>
      <c r="E26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('IP12945A04', '220 mm pot base final', 'Intermediate Product');</v>
      </c>
    </row>
    <row r="27" spans="1:5" x14ac:dyDescent="0.25">
      <c r="A27" s="1" t="s">
        <v>57</v>
      </c>
      <c r="B27" s="1" t="s">
        <v>58</v>
      </c>
      <c r="C27" s="1" t="s">
        <v>50</v>
      </c>
      <c r="E27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('IP12947A01', '250 mm 1 mm stailess steel disc', 'Intermediate Product');</v>
      </c>
    </row>
    <row r="28" spans="1:5" x14ac:dyDescent="0.25">
      <c r="A28" s="1" t="s">
        <v>59</v>
      </c>
      <c r="B28" s="1" t="s">
        <v>60</v>
      </c>
      <c r="C28" s="1" t="s">
        <v>50</v>
      </c>
      <c r="E28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('IP12947A02', '220 mm lid pressed', 'Intermediate Product');</v>
      </c>
    </row>
    <row r="29" spans="1:5" x14ac:dyDescent="0.25">
      <c r="A29" s="1" t="s">
        <v>61</v>
      </c>
      <c r="B29" s="1" t="s">
        <v>62</v>
      </c>
      <c r="C29" s="1" t="s">
        <v>50</v>
      </c>
      <c r="E29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('IP12947A03', '220 mm lid polished', 'Intermediate Product');</v>
      </c>
    </row>
    <row r="30" spans="1:5" x14ac:dyDescent="0.25">
      <c r="A30" s="1" t="s">
        <v>63</v>
      </c>
      <c r="B30" s="1" t="s">
        <v>64</v>
      </c>
      <c r="C30" s="1" t="s">
        <v>50</v>
      </c>
      <c r="E30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('IP12947A04', '220 mm lid with handle', 'Intermediate Product');</v>
      </c>
    </row>
    <row r="31" spans="1:5" x14ac:dyDescent="0.25">
      <c r="A31" s="1" t="s">
        <v>65</v>
      </c>
      <c r="B31" s="1" t="s">
        <v>66</v>
      </c>
      <c r="C31" s="1" t="s">
        <v>50</v>
      </c>
      <c r="E31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('IP12945A32', '200 mm pot base phase 1', 'Intermediate Product');</v>
      </c>
    </row>
    <row r="32" spans="1:5" x14ac:dyDescent="0.25">
      <c r="A32" s="1" t="s">
        <v>67</v>
      </c>
      <c r="B32" s="1" t="s">
        <v>68</v>
      </c>
      <c r="C32" s="1" t="s">
        <v>50</v>
      </c>
      <c r="E32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('IP12945A33', '200 mm pot base phase 2', 'Intermediate Product');</v>
      </c>
    </row>
    <row r="33" spans="1:5" x14ac:dyDescent="0.25">
      <c r="A33" s="1" t="s">
        <v>69</v>
      </c>
      <c r="B33" s="1" t="s">
        <v>70</v>
      </c>
      <c r="C33" s="1" t="s">
        <v>50</v>
      </c>
      <c r="E33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('IP12945A34', '200 mm pot base final', 'Intermediate Product');</v>
      </c>
    </row>
    <row r="34" spans="1:5" x14ac:dyDescent="0.25">
      <c r="A34" s="1" t="s">
        <v>71</v>
      </c>
      <c r="B34" s="1" t="s">
        <v>72</v>
      </c>
      <c r="C34" s="1" t="s">
        <v>50</v>
      </c>
      <c r="E34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('IP12947A32', '200 mm lid pressed', 'Intermediate Product');</v>
      </c>
    </row>
    <row r="35" spans="1:5" x14ac:dyDescent="0.25">
      <c r="A35" s="1" t="s">
        <v>73</v>
      </c>
      <c r="B35" s="1" t="s">
        <v>74</v>
      </c>
      <c r="C35" s="1" t="s">
        <v>50</v>
      </c>
      <c r="E35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('IP12947A33', '200 mm lid polished', 'Intermediate Product');</v>
      </c>
    </row>
    <row r="36" spans="1:5" x14ac:dyDescent="0.25">
      <c r="A36" s="1" t="s">
        <v>75</v>
      </c>
      <c r="B36" s="1" t="s">
        <v>76</v>
      </c>
      <c r="C36" s="1" t="s">
        <v>50</v>
      </c>
      <c r="E36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('IP12947A34', '200 mm lid with handle', 'Intermediate Product');</v>
      </c>
    </row>
    <row r="37" spans="1:5" x14ac:dyDescent="0.25">
      <c r="A37" s="1" t="s">
        <v>77</v>
      </c>
      <c r="B37" s="1" t="s">
        <v>78</v>
      </c>
      <c r="C37" s="1" t="s">
        <v>79</v>
      </c>
      <c r="E37" t="str">
        <f>_xlfn.CONCAT("insert into Part(Part_ID, Part_Description, Part_Type) values ('",part[[#This Row],[part_number]],"', '",part[[#This Row],[description]],"', '",part[[#This Row],[part_type]],"');")</f>
        <v>insert into Part(Part_ID, Part_Description, Part_Type) values ('PN94561L67', 'Coolube 2210XP', 'Raw Material');</v>
      </c>
    </row>
    <row r="41" spans="1:5" x14ac:dyDescent="0.25">
      <c r="C41" t="s">
        <v>80</v>
      </c>
    </row>
    <row r="42" spans="1:5" x14ac:dyDescent="0.25">
      <c r="C42" t="s">
        <v>81</v>
      </c>
    </row>
    <row r="43" spans="1:5" x14ac:dyDescent="0.25">
      <c r="C43" t="s">
        <v>82</v>
      </c>
    </row>
    <row r="44" spans="1:5" x14ac:dyDescent="0.25">
      <c r="C44" t="s">
        <v>83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2BAE-5289-4DFB-BBBD-D5401AAAA810}">
  <dimension ref="A1:A7"/>
  <sheetViews>
    <sheetView workbookViewId="0"/>
  </sheetViews>
  <sheetFormatPr defaultRowHeight="15" x14ac:dyDescent="0.25"/>
  <cols>
    <col min="1" max="1" width="13.71093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2439A-F2F3-4374-A2D4-43DF37DAEB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part</vt:lpstr>
      <vt:lpstr>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Pereira</dc:creator>
  <cp:lastModifiedBy>Diogo Pereira</cp:lastModifiedBy>
  <dcterms:created xsi:type="dcterms:W3CDTF">2015-06-05T18:19:34Z</dcterms:created>
  <dcterms:modified xsi:type="dcterms:W3CDTF">2024-11-14T21:04:23Z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2024-11-14T20:09:32Z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3cf4c707-3396-4fde-b2e6-61fdda39dcb9</vt:lpwstr>
  </property>
  <property fmtid="{D5CDD505-2E9C-101B-9397-08002B2CF9AE}" pid="7" name="MSIP_Label_defa4170-0d19-0005-0004-bc88714345d2_ActionId">
    <vt:lpwstr>e8efd541-c652-4820-b508-cbb326675d53</vt:lpwstr>
  </property>
  <property fmtid="{D5CDD505-2E9C-101B-9397-08002B2CF9AE}" pid="8" name="MSIP_Label_defa4170-0d19-0005-0004-bc88714345d2_ContentBits">
    <vt:lpwstr>0</vt:lpwstr>
  </property>
</Properties>
</file>