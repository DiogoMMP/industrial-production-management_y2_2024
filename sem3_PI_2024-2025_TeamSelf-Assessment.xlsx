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yisepipp.sharepoint.com/teams/ByteMastersSecondComing-ISEP365Group-LAPR3/Shared Documents/LAPR3/SPRINT 1/"/>
    </mc:Choice>
  </mc:AlternateContent>
  <xr:revisionPtr revIDLastSave="186" documentId="13_ncr:1_{802A170C-3CC1-4949-837B-425EC5D8B4FC}" xr6:coauthVersionLast="47" xr6:coauthVersionMax="47" xr10:uidLastSave="{63C94A82-879C-4805-9502-C4027DB3E40A}"/>
  <bookViews>
    <workbookView xWindow="-108" yWindow="-108" windowWidth="23256" windowHeight="12456" activeTab="2" xr2:uid="{00000000-000D-0000-FFFF-FFFF00000000}"/>
  </bookViews>
  <sheets>
    <sheet name="Team and Self Assessment" sheetId="2" r:id="rId1"/>
    <sheet name="User Stories" sheetId="5" r:id="rId2"/>
    <sheet name="Project Development" sheetId="1" r:id="rId3"/>
    <sheet name="Project Management" sheetId="10" r:id="rId4"/>
  </sheets>
  <externalReferences>
    <externalReference r:id="rId5"/>
  </externalReferences>
  <definedNames>
    <definedName name="ItemEval">[1]!Table2[ItemEval]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2" l="1"/>
  <c r="K18" i="2"/>
  <c r="J15" i="10"/>
  <c r="I15" i="10"/>
  <c r="H15" i="10"/>
  <c r="G15" i="10"/>
  <c r="F15" i="10"/>
  <c r="E15" i="10"/>
  <c r="D15" i="10"/>
  <c r="C15" i="10"/>
  <c r="B15" i="10" l="1"/>
  <c r="K14" i="10"/>
  <c r="K13" i="10"/>
  <c r="K11" i="10"/>
  <c r="K10" i="10"/>
  <c r="K9" i="10"/>
  <c r="K7" i="10"/>
  <c r="K6" i="10"/>
  <c r="K5" i="10"/>
  <c r="K4" i="10"/>
  <c r="K12" i="10"/>
  <c r="K8" i="10"/>
  <c r="J16" i="10"/>
  <c r="I16" i="10"/>
  <c r="H16" i="10"/>
  <c r="G16" i="10"/>
  <c r="F16" i="10"/>
  <c r="E16" i="10"/>
  <c r="D16" i="10"/>
  <c r="C16" i="10"/>
  <c r="Q3" i="10"/>
  <c r="P3" i="10"/>
  <c r="O3" i="10"/>
  <c r="N3" i="10"/>
  <c r="M3" i="10"/>
  <c r="L3" i="10"/>
  <c r="J3" i="10"/>
  <c r="I3" i="10"/>
  <c r="H3" i="10"/>
  <c r="G3" i="10"/>
  <c r="F3" i="10"/>
  <c r="E3" i="10"/>
  <c r="D3" i="10"/>
  <c r="C3" i="10"/>
  <c r="L11" i="2"/>
  <c r="L12" i="2"/>
  <c r="L13" i="2"/>
  <c r="L14" i="2"/>
  <c r="L15" i="2"/>
  <c r="L16" i="2"/>
  <c r="L17" i="2"/>
  <c r="K4" i="1"/>
  <c r="K5" i="1"/>
  <c r="K6" i="1"/>
  <c r="K7" i="1"/>
  <c r="Q3" i="1"/>
  <c r="P3" i="1"/>
  <c r="O3" i="1"/>
  <c r="N3" i="1"/>
  <c r="M3" i="1"/>
  <c r="L3" i="1"/>
  <c r="B8" i="1"/>
  <c r="J3" i="1"/>
  <c r="I3" i="1"/>
  <c r="H3" i="1"/>
  <c r="G3" i="1"/>
  <c r="F3" i="1"/>
  <c r="E3" i="1"/>
  <c r="D3" i="1"/>
  <c r="C3" i="1"/>
  <c r="L10" i="2"/>
  <c r="E18" i="2"/>
  <c r="F18" i="2"/>
  <c r="G18" i="2"/>
  <c r="H18" i="2"/>
  <c r="I18" i="2"/>
  <c r="J18" i="2"/>
  <c r="D18" i="2"/>
  <c r="J9" i="2"/>
  <c r="I9" i="2"/>
  <c r="H9" i="2"/>
  <c r="G9" i="2"/>
  <c r="F9" i="2"/>
  <c r="E9" i="2"/>
  <c r="D9" i="2"/>
  <c r="I8" i="1" l="1"/>
  <c r="I9" i="1" s="1"/>
  <c r="H8" i="1"/>
  <c r="H9" i="1" s="1"/>
  <c r="G8" i="1"/>
  <c r="G9" i="1" s="1"/>
  <c r="F8" i="1"/>
  <c r="F9" i="1" s="1"/>
  <c r="E8" i="1"/>
  <c r="E9" i="1" s="1"/>
  <c r="J8" i="1"/>
  <c r="J9" i="1" s="1"/>
  <c r="D8" i="1"/>
  <c r="D9" i="1" s="1"/>
  <c r="C8" i="1" l="1"/>
  <c r="C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tc={6BAF2E2E-33D1-44DF-B745-43730409185A}</author>
  </authors>
  <commentList>
    <comment ref="A5" authorId="0" shapeId="0" xr:uid="{6BAF2E2E-33D1-44DF-B745-43730409185A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Proposta: Documentation em vez de "Project Report &amp; Documentation"</t>
      </text>
    </comment>
  </commentList>
</comments>
</file>

<file path=xl/sharedStrings.xml><?xml version="1.0" encoding="utf-8"?>
<sst xmlns="http://schemas.openxmlformats.org/spreadsheetml/2006/main" count="333" uniqueCount="163">
  <si>
    <t>TeamID #</t>
  </si>
  <si>
    <t>(e.g. 101)</t>
  </si>
  <si>
    <t>How do you grade yourself and your peers?</t>
  </si>
  <si>
    <t>List B</t>
  </si>
  <si>
    <t>Average</t>
  </si>
  <si>
    <t>List A</t>
  </si>
  <si>
    <t>Student from List A should assess the student on List B with a grade from 0 to 5.</t>
  </si>
  <si>
    <t>0% - Unaceptable</t>
  </si>
  <si>
    <t>25% - Unsatisfactory</t>
  </si>
  <si>
    <t>50% - Acceptable</t>
  </si>
  <si>
    <t>75% - Good</t>
  </si>
  <si>
    <t>90% - Very Good</t>
  </si>
  <si>
    <t>100% - Excellent</t>
  </si>
  <si>
    <t>User Stories</t>
  </si>
  <si>
    <t>Student Responsible for User Story</t>
  </si>
  <si>
    <t>User Story Assessment
[0-5]</t>
  </si>
  <si>
    <t>Remarks</t>
  </si>
  <si>
    <t>Unacceptable / 
Not Implemented.</t>
  </si>
  <si>
    <t>Emerging / 
Implementation Attempt.</t>
  </si>
  <si>
    <t>Minimally Acceptable / 
Many Defects</t>
  </si>
  <si>
    <t>Acceptable /
 Little Defects</t>
  </si>
  <si>
    <t>Accomplished / 
Correct</t>
  </si>
  <si>
    <t>Exemplary</t>
  </si>
  <si>
    <t>No solution has been 
developed for the requirements </t>
  </si>
  <si>
    <t>Most of the requirements 
have not been met </t>
  </si>
  <si>
    <t>Most of the requirements 
were minimally fulfilled, 
although with some flaws </t>
  </si>
  <si>
    <t>All requirements have been 
met almost in their entirety </t>
  </si>
  <si>
    <t>All requirements have 
been met completely. </t>
  </si>
  <si>
    <t>The students have exceeded expectations </t>
  </si>
  <si>
    <t>The students  have exceeded expectations </t>
  </si>
  <si>
    <t>Weight</t>
  </si>
  <si>
    <t>Total</t>
  </si>
  <si>
    <t>Project Development Self-Assessment</t>
  </si>
  <si>
    <t>Rubric</t>
  </si>
  <si>
    <t>Teacher
Assessment</t>
  </si>
  <si>
    <t>Commit Messages</t>
  </si>
  <si>
    <t>Less than 25% of commits have a well-formed commit message</t>
  </si>
  <si>
    <t>About 25% of commits have a well-formed commit message</t>
  </si>
  <si>
    <t>2 – Not Applicable</t>
  </si>
  <si>
    <t>About 50% of commits have a well-formed commit message</t>
  </si>
  <si>
    <t>At least 90% of commits have a well-formed commit message</t>
  </si>
  <si>
    <t>All commits have a well-formed commit message</t>
  </si>
  <si>
    <t>No report or documentation.</t>
  </si>
  <si>
    <t>Has at least a solution Domain Model or Relational Model or Class Diagram.</t>
  </si>
  <si>
    <t>Has at least a solution Domain Model or Relational Model or Class Diagram, and some user stories have been documented.</t>
  </si>
  <si>
    <t>Has a solution Domain Model and Relational Model and Class Diagram, and most user stories have been documented.</t>
  </si>
  <si>
    <t>Has a solution Domain Model and Relational Model and Class Diagram, and all user stories have been documented.</t>
  </si>
  <si>
    <t>The students have exceeded expectations</t>
  </si>
  <si>
    <t>Requirements</t>
  </si>
  <si>
    <t>No solution has 
been developed for 
the requirements </t>
  </si>
  <si>
    <t>Most of the 
requirements 
have not been met </t>
  </si>
  <si>
    <t>Most of the 
requirements were 
minimally fulfilled, 
although with 
some flaws </t>
  </si>
  <si>
    <t>All requirements 
have been met 
almost in 
their entirety </t>
  </si>
  <si>
    <t>All requirements 
have been met 
completely. </t>
  </si>
  <si>
    <t>Sprint Review / 
Demonstration</t>
  </si>
  <si>
    <t>Without any kind of preparation </t>
  </si>
  <si>
    <t>There was some preparation </t>
  </si>
  <si>
    <t>There was some 
preparation but with flaws in the 
demonstration data 
and the speech </t>
  </si>
  <si>
    <t>There was a good 
preparation but 
with flaws in 
the speech</t>
  </si>
  <si>
    <t>There was good 
preparation with 
no flaws in the 
demonstration 
data</t>
  </si>
  <si>
    <t>Total (0-20)</t>
  </si>
  <si>
    <t>Sprint backlog not created or created with less than 50% of US</t>
  </si>
  <si>
    <t>Sprint backlog created with more than 50% of US and added tasks, bugs and epics (if applicable)</t>
  </si>
  <si>
    <t>All US inserted, with syntax correction, added additional notes with mode detail, annex and other information in some US</t>
  </si>
  <si>
    <t>US with correct syntax, additional detail in notes and annex in most issues</t>
  </si>
  <si>
    <t>All the previous plus added the correct categorizations to issues and inserted the issues for Scrum events (Dailly meeting, retrospective, review)</t>
  </si>
  <si>
    <t>All the previous and inserted correctly additional US based on team judgement and Project Management requirements (Reviews and other requirements for each sprint)</t>
  </si>
  <si>
    <t>Task splitting from User Stories</t>
  </si>
  <si>
    <t>No decomposition of tasks</t>
  </si>
  <si>
    <t>Less than 25% of US were decomposed in sub-tasks</t>
  </si>
  <si>
    <t>Tasks decomposition in 26%-75% of US with more than 2 sub-tasks</t>
  </si>
  <si>
    <t xml:space="preserve">Decomposition in more 76% - 90% of US with more than 3 sub-tasks </t>
  </si>
  <si>
    <t>More than 91% of US with decomposition and even distribution of tasks among team members</t>
  </si>
  <si>
    <t>One sub task per day per team member</t>
  </si>
  <si>
    <t>User Stories prioritization</t>
  </si>
  <si>
    <t>None</t>
  </si>
  <si>
    <t>Less than 50% of US were prioritized</t>
  </si>
  <si>
    <t> More than 51% were prioritized</t>
  </si>
  <si>
    <t>Between 75%-90% with correct distribution </t>
  </si>
  <si>
    <t>More than 90% with correct distribution </t>
  </si>
  <si>
    <t>All US prioritized with correct distribution</t>
  </si>
  <si>
    <t>User Stories estimation</t>
  </si>
  <si>
    <t>Less than 25% of US estimated</t>
  </si>
  <si>
    <t xml:space="preserve">Between 26% and 75% US estimated </t>
  </si>
  <si>
    <t>Between 76% and 90% US estimated </t>
  </si>
  <si>
    <t>All US estimated </t>
  </si>
  <si>
    <t>All US estimated with evidence of different techniques used</t>
  </si>
  <si>
    <t>Less than 25% registered</t>
  </si>
  <si>
    <t>Between 25% and 50% registered </t>
  </si>
  <si>
    <t>Between 51% and 75% registered </t>
  </si>
  <si>
    <t>Between 76% and 100% registered </t>
  </si>
  <si>
    <t>All registered with outstanding evidence</t>
  </si>
  <si>
    <t>Daily Progress registered</t>
  </si>
  <si>
    <t>none</t>
  </si>
  <si>
    <t>Less than 25% with evidence of status change</t>
  </si>
  <si>
    <t>More than 50% with correct status change and comments on issues</t>
  </si>
  <si>
    <t>All tasks with correct status change, comments and working hours inserted</t>
  </si>
  <si>
    <t>Retrospective registered</t>
  </si>
  <si>
    <t>Made with low quality and relevance</t>
  </si>
  <si>
    <t>Good content but method and record with low quality</t>
  </si>
  <si>
    <t>Good content with good method and record</t>
  </si>
  <si>
    <t>Good content method and record with good improvement plan</t>
  </si>
  <si>
    <t>Excellent content, method and record with excellent improvement plan and actions inserted in tasks</t>
  </si>
  <si>
    <t>Present but with errors</t>
  </si>
  <si>
    <t xml:space="preserve">Low quality </t>
  </si>
  <si>
    <t>Medium quality </t>
  </si>
  <si>
    <t>Good quality </t>
  </si>
  <si>
    <t>Excellent</t>
  </si>
  <si>
    <t>Sprint Review Demonstration</t>
  </si>
  <si>
    <t>Percentage of Sprint conclusion</t>
  </si>
  <si>
    <t> No sprint execution</t>
  </si>
  <si>
    <t>Between 0-30% executed</t>
  </si>
  <si>
    <t>Between 31-50% executed</t>
  </si>
  <si>
    <t>Between 51-75% executed</t>
  </si>
  <si>
    <t>Between 76-95% executed</t>
  </si>
  <si>
    <t>More than 96% executed</t>
  </si>
  <si>
    <t>Overall Sprint management</t>
  </si>
  <si>
    <t>LAPR3 Project Team and Self-assessment v4.0</t>
  </si>
  <si>
    <t>Documentation</t>
  </si>
  <si>
    <t>Sprint Backlog</t>
  </si>
  <si>
    <t>Daily Meeting occurrences and registered on Project-Board</t>
  </si>
  <si>
    <t>Insights registered on SPRINT Report</t>
  </si>
  <si>
    <t>Instructions for Students:</t>
  </si>
  <si>
    <t>Student 8 No. + 1st name+last name</t>
  </si>
  <si>
    <t>Student 7 No. + 1st name+last name</t>
  </si>
  <si>
    <t>Student 5 No. + 1st name+last name</t>
  </si>
  <si>
    <t>Student 6 No. + 1st name+last name</t>
  </si>
  <si>
    <t>Write your student numbers and name in Colum C from row 10 to 17 (according to the students in your team).</t>
  </si>
  <si>
    <t>User Story ID #</t>
  </si>
  <si>
    <t>Project Management Team Assessment</t>
  </si>
  <si>
    <t>Self-assessment</t>
  </si>
  <si>
    <t>On the diagonal Students should fill their self-assessment (darker blue cells)</t>
  </si>
  <si>
    <t xml:space="preserve"> - Team and Self-assessment</t>
  </si>
  <si>
    <t xml:space="preserve"> - User Stories</t>
  </si>
  <si>
    <r>
      <t xml:space="preserve">Students </t>
    </r>
    <r>
      <rPr>
        <b/>
        <sz val="12"/>
        <color rgb="FFFF0000"/>
        <rFont val="Calibri"/>
        <family val="2"/>
        <scheme val="minor"/>
      </rPr>
      <t>must</t>
    </r>
    <r>
      <rPr>
        <b/>
        <sz val="12"/>
        <color theme="1"/>
        <rFont val="Calibri"/>
        <family val="2"/>
        <scheme val="minor"/>
      </rPr>
      <t xml:space="preserve"> fill in the following sheets:</t>
    </r>
  </si>
  <si>
    <t>Fill in the cells with a blue background</t>
  </si>
  <si>
    <t>READ the Instructions below the table!!!</t>
  </si>
  <si>
    <t>1230462 Diogo Veiros</t>
  </si>
  <si>
    <t>1230948 Diogo Pereira</t>
  </si>
  <si>
    <t>1230917 Tiago Sampaio</t>
  </si>
  <si>
    <t>1211846 Vicente Sousa</t>
  </si>
  <si>
    <t>USBD01</t>
  </si>
  <si>
    <t>USBD02</t>
  </si>
  <si>
    <t>USBD03</t>
  </si>
  <si>
    <t>USBD04</t>
  </si>
  <si>
    <t>USBD05</t>
  </si>
  <si>
    <t>USBD06</t>
  </si>
  <si>
    <t>USBD07</t>
  </si>
  <si>
    <t>USBD08</t>
  </si>
  <si>
    <t>USEI01</t>
  </si>
  <si>
    <t>USEI02</t>
  </si>
  <si>
    <t>USEI03</t>
  </si>
  <si>
    <t>USEI04</t>
  </si>
  <si>
    <t>USEI05</t>
  </si>
  <si>
    <t>USEI06</t>
  </si>
  <si>
    <t>USEI07</t>
  </si>
  <si>
    <t>USLP01</t>
  </si>
  <si>
    <t>USLP02</t>
  </si>
  <si>
    <t>USLP03</t>
  </si>
  <si>
    <t>Assigned to ALL and made by all</t>
  </si>
  <si>
    <t>Attributed to Diogo Pereira and Tiago Sampaio and made by both of them.</t>
  </si>
  <si>
    <t>Attributed to Diogo Veiros and Vicente Sousa and made by both of them.</t>
  </si>
  <si>
    <t>USEI08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</si>
</sst>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6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164" fontId="0" fillId="0" borderId="1" xfId="1" applyNumberFormat="1" applyFont="1" applyBorder="1" applyAlignment="1">
      <alignment horizontal="right" vertical="center" wrapText="1"/>
    </xf>
    <xf numFmtId="164" fontId="0" fillId="0" borderId="1" xfId="0" applyNumberFormat="1" applyBorder="1" applyAlignment="1">
      <alignment horizontal="right" vertical="center" wrapText="1"/>
    </xf>
    <xf numFmtId="0" fontId="0" fillId="0" borderId="6" xfId="0" applyBorder="1" applyAlignment="1">
      <alignment horizontal="center" vertical="center" textRotation="65" wrapText="1"/>
    </xf>
    <xf numFmtId="0" fontId="0" fillId="0" borderId="13" xfId="0" applyBorder="1" applyAlignment="1">
      <alignment horizontal="center" vertical="center" textRotation="65" wrapText="1"/>
    </xf>
    <xf numFmtId="0" fontId="0" fillId="0" borderId="13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 wrapText="1"/>
    </xf>
    <xf numFmtId="2" fontId="0" fillId="0" borderId="14" xfId="0" applyNumberForma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5" fillId="0" borderId="0" xfId="0" applyFont="1"/>
    <xf numFmtId="0" fontId="0" fillId="0" borderId="1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0" fillId="2" borderId="5" xfId="0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textRotation="65" wrapText="1"/>
    </xf>
    <xf numFmtId="0" fontId="0" fillId="0" borderId="21" xfId="0" applyBorder="1" applyAlignment="1">
      <alignment horizontal="center" vertical="center" textRotation="65" wrapText="1"/>
    </xf>
    <xf numFmtId="0" fontId="0" fillId="0" borderId="22" xfId="0" applyBorder="1" applyAlignment="1">
      <alignment horizontal="center" vertical="center" textRotation="65" wrapText="1"/>
    </xf>
    <xf numFmtId="0" fontId="0" fillId="0" borderId="18" xfId="0" applyBorder="1" applyAlignment="1">
      <alignment horizontal="center" vertical="center" wrapText="1"/>
    </xf>
    <xf numFmtId="2" fontId="0" fillId="0" borderId="19" xfId="0" applyNumberFormat="1" applyBorder="1" applyAlignment="1">
      <alignment horizontal="center" vertical="center" wrapText="1"/>
    </xf>
    <xf numFmtId="2" fontId="0" fillId="0" borderId="24" xfId="0" applyNumberFormat="1" applyBorder="1"/>
    <xf numFmtId="2" fontId="0" fillId="0" borderId="25" xfId="0" applyNumberFormat="1" applyBorder="1"/>
    <xf numFmtId="0" fontId="0" fillId="0" borderId="5" xfId="0" applyBorder="1"/>
    <xf numFmtId="0" fontId="0" fillId="3" borderId="14" xfId="0" applyFill="1" applyBorder="1" applyAlignment="1">
      <alignment horizontal="center" vertical="center" wrapText="1"/>
    </xf>
    <xf numFmtId="2" fontId="0" fillId="0" borderId="4" xfId="0" applyNumberFormat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1" fontId="0" fillId="0" borderId="27" xfId="0" applyNumberForma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2" fillId="4" borderId="28" xfId="0" applyFont="1" applyFill="1" applyBorder="1"/>
    <xf numFmtId="0" fontId="0" fillId="4" borderId="23" xfId="0" applyFill="1" applyBorder="1"/>
    <xf numFmtId="0" fontId="0" fillId="4" borderId="16" xfId="0" applyFill="1" applyBorder="1"/>
    <xf numFmtId="0" fontId="0" fillId="4" borderId="29" xfId="0" applyFill="1" applyBorder="1"/>
    <xf numFmtId="0" fontId="0" fillId="4" borderId="0" xfId="0" applyFill="1"/>
    <xf numFmtId="0" fontId="0" fillId="4" borderId="30" xfId="0" applyFill="1" applyBorder="1"/>
    <xf numFmtId="0" fontId="4" fillId="4" borderId="29" xfId="0" applyFont="1" applyFill="1" applyBorder="1"/>
    <xf numFmtId="0" fontId="0" fillId="4" borderId="3" xfId="0" applyFill="1" applyBorder="1"/>
    <xf numFmtId="0" fontId="0" fillId="4" borderId="31" xfId="0" applyFill="1" applyBorder="1"/>
    <xf numFmtId="0" fontId="0" fillId="4" borderId="32" xfId="0" applyFill="1" applyBorder="1"/>
    <xf numFmtId="0" fontId="2" fillId="4" borderId="29" xfId="0" applyFont="1" applyFill="1" applyBorder="1"/>
    <xf numFmtId="0" fontId="2" fillId="4" borderId="0" xfId="0" applyFont="1" applyFill="1"/>
    <xf numFmtId="0" fontId="7" fillId="0" borderId="6" xfId="0" applyFont="1" applyBorder="1" applyAlignment="1">
      <alignment horizontal="center" vertical="center" textRotation="65" wrapText="1"/>
    </xf>
    <xf numFmtId="0" fontId="7" fillId="0" borderId="13" xfId="0" applyFont="1" applyBorder="1" applyAlignment="1">
      <alignment horizontal="center" vertical="center" textRotation="65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" fontId="8" fillId="0" borderId="13" xfId="0" applyNumberFormat="1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0" fontId="0" fillId="5" borderId="16" xfId="0" applyFill="1" applyBorder="1" applyAlignment="1">
      <alignment horizontal="center" vertical="center" wrapText="1"/>
    </xf>
    <xf numFmtId="0" fontId="0" fillId="5" borderId="17" xfId="0" applyFill="1" applyBorder="1" applyAlignment="1">
      <alignment horizontal="center" vertical="center" wrapText="1"/>
    </xf>
    <xf numFmtId="0" fontId="0" fillId="2" borderId="0" xfId="0" applyFill="1" applyAlignment="1">
      <alignment horizontal="center" wrapText="1"/>
    </xf>
    <xf numFmtId="0" fontId="2" fillId="0" borderId="0" xfId="0" applyFont="1" applyAlignment="1">
      <alignment horizontal="left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2">
    <cellStyle name="Normal" xfId="0" builtinId="0"/>
    <cellStyle name="Percentagem" xfId="1" builtinId="5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400900</xdr:colOff>
      <xdr:row>17</xdr:row>
      <xdr:rowOff>0</xdr:rowOff>
    </xdr:from>
    <xdr:to>
      <xdr:col>13</xdr:col>
      <xdr:colOff>401260</xdr:colOff>
      <xdr:row>17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84EA9176-AD5B-1E48-B9F9-F07080AA6832}"/>
                </a:ext>
              </a:extLst>
            </xdr14:cNvPr>
            <xdr14:cNvContentPartPr/>
          </xdr14:nvContentPartPr>
          <xdr14:nvPr macro=""/>
          <xdr14:xfrm>
            <a:off x="12580200" y="5184720"/>
            <a:ext cx="360" cy="3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84EA9176-AD5B-1E48-B9F9-F07080AA683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564720" y="5169600"/>
              <a:ext cx="30960" cy="3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120420</xdr:colOff>
      <xdr:row>8</xdr:row>
      <xdr:rowOff>287700</xdr:rowOff>
    </xdr:from>
    <xdr:to>
      <xdr:col>2</xdr:col>
      <xdr:colOff>855540</xdr:colOff>
      <xdr:row>8</xdr:row>
      <xdr:rowOff>1249620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3C11775C-AEBD-3D40-A3A9-CC45ED1B07E2}"/>
                </a:ext>
              </a:extLst>
            </xdr14:cNvPr>
            <xdr14:cNvContentPartPr/>
          </xdr14:nvContentPartPr>
          <xdr14:nvPr macro=""/>
          <xdr14:xfrm>
            <a:off x="1377720" y="1926000"/>
            <a:ext cx="735120" cy="96192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3C11775C-AEBD-3D40-A3A9-CC45ED1B07E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369080" y="1917000"/>
              <a:ext cx="752760" cy="9795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uno/Downloads/assessmentGridLAPR2_Class1XX_TeamGYY_Sprint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print D-Self&amp;PeerEvaluation"/>
      <sheetName val="assessmentGridLAPR2_Class1XX_Te"/>
    </sheetNames>
    <sheetDataSet>
      <sheetData sheetId="0"/>
      <sheetData sheetId="1"/>
      <sheetData sheetId="2" refreshError="1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6T22:34:04.863"/>
    </inkml:context>
    <inkml:brush xml:id="br0">
      <inkml:brushProperty name="width" value="0.08571" units="cm"/>
      <inkml:brushProperty name="height" value="0.08571" units="cm"/>
    </inkml:brush>
  </inkml:definitions>
  <inkml:trace contextRef="#ctx0" brushRef="#br0">5867 1369 8027,'0'0'0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6T22:35:03.95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2671 24575,'0'-20'0,"0"1"0,0-12 0,0 4 0,0-9 0,0 7 0,0-17 0,0-27 0,0 26 0,0-33 0,0 42 0,0-1 0,0-8 0,6 18 0,2-17 0,6 17 0,0-7 0,-6 9 0,4 1 0,-11-1 0,9 8 0,-8-6 0,7 13 0,-8-5 0,3 6 0,-4-6 0,26-37 0,-14 19 0,20-30 0,-21 44 0,1-8 0,-6 17 0,6-13 0,-11 13 0,11-13 0,-6 13 0,7-12 0,-1 4 0,1-6 0,0-1 0,0 1 0,1-1 0,0-9 0,-1 14 0,1-13 0,-2 16 0,0 0 0,-1 1 0,1 1 0,-2 5 0,14-7 0,-5-3 0,4 7 0,1-8 0,-12 12 0,13-2 0,-13 3 0,12-9 0,-12 7 0,13-7 0,-6 1 0,55-19 0,9-2 0,-24 5 0,22-3 0,-6 5 0,-48 20 0,11 5 0,-9-6 0,9 0 0,-11 5 0,-8-2 0,6 9 0,-6-4 0,18-2 0,-8-1 0,7-6 0,-10 0 0,1 7 0,-8-3 0,6 8 0,-1-7 0,3 8 0,-3-8 0,1 8 0,-13-4 0,13 5 0,-13 0 0,12-6 0,-11 5 0,16-5 0,-9 0 0,4 5 0,1-5 0,-6 0 0,0 4 0,6-9 0,-6 9 0,1-4 0,-3 6 0,-7-4 0,8 3 0,-6-4 0,5 5 0,-6 0 0,-1 0 0,0 0 0,0 0 0,1 0 0,-1 0 0,0 0 0,8 0 0,-6 0 0,5 0 0,-7 0 0,1 0 0,-2 0 0,-7 0 0,-11-6 0,-9-1 0,-1-5 0,-16-2 0,10-3 0,-6 3 0,3-9 0,8 9 0,1-3 0,0-2 0,9 7 0,-3-13 0,1 6 0,-10-18 0,7 8 0,-13-7 0,12 0 0,-3 7 0,-2-7 0,6 9 0,-19-2 0,10 8 0,-5 5 0,5 4 0,12 6 0,-6-6 0,1 7 0,4-5 0,-4 9 0,7-8 0,-1 3 0,1-4 0,0 5 0,0-5 0,-10 0 0,9 3 0,-4-6 0,7 11 0,7-6 0,1 11 0,5-1 0,4 7 0,1 1 0,2 8 0,16 4 0,-5-1 0,13 1 0,-9-3 0,9-3 0,-7 3 0,7-4 0,-15 4 0,4-4 0,-12 2 0,5-5 0,-8-2 0,0 1 0,1-1 0,0 7 0,0-5 0,0 6 0,1-1 0,-1-5 0,0 6 0,-1-8 0,-4 8 0,3-6 0,3 17 0,-5-16 0,3 16 0,-10-17 0,6 13 0,-4-13 0,14 17 0,-14-16 0,9 9 0,-5-4 0,-5-6 0,10 5 0,-10-6 0,3-1 0,1 0 0,-4 0 0,4 1 0,-2-6 0,1 0 0,4-5 0,0 0 0,1 0 0,0 0 0,8 0 0,-5 0 0,12 0 0,-12 0 0,6 0 0,-8 0 0,0 0 0,0 0 0,-4 3 0,-6-2 0,-6 7 0,-10-7 0,4 8 0,-13-2 0,6 5 0,-2 7 0,-4-4 0,4 4 0,1 0 0,-5-4 0,11 3 0,-10 0 0,10 2 0,-3-1 0,4 5 0,0 6 0,-21 20 0,13 2 0,-22 8 0,25-11 0,-12 0 0,13-10 0,-5-3 0,9-9 0,5-8 0,-2-1 0,9-8 0,-4 0 0,5 0 0,-3-4 0,-2 3 0,-4-3 0,-2 4 0,1 0 0,0 1 0,4-1 0,-3 0 0,8 0 0,-4 0 0,1-4 0,3-2 0,-4-4 0</inkml:trace>
</inkml:ink>
</file>

<file path=xl/persons/person.xml><?xml version="1.0" encoding="utf-8"?>
<personList xmlns="http://schemas.microsoft.com/office/spreadsheetml/2018/threadedcomments" xmlns:x="http://schemas.openxmlformats.org/spreadsheetml/2006/main">
  <person displayName="Ana Barata" id="{9823C95B-394C-482A-AF78-619FD813BEBA}" userId="S::abt@isep.ipp.pt::5b353bcc-9c20-4dd6-9ceb-f15a7e5b320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5" dT="2024-10-24T10:27:40.35" personId="{9823C95B-394C-482A-AF78-619FD813BEBA}" id="{6BAF2E2E-33D1-44DF-B745-43730409185A}">
    <text>Proposta: Documentation em vez de "Project Report &amp; Documentation"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30"/>
  <sheetViews>
    <sheetView topLeftCell="A5" workbookViewId="0">
      <selection activeCell="H10" sqref="H10"/>
    </sheetView>
  </sheetViews>
  <sheetFormatPr defaultColWidth="11" defaultRowHeight="15.6" x14ac:dyDescent="0.3"/>
  <cols>
    <col min="2" max="2" width="9.09765625" customWidth="1"/>
    <col min="3" max="3" width="15.5" customWidth="1"/>
    <col min="4" max="12" width="7.8984375" customWidth="1"/>
    <col min="13" max="13" width="8" customWidth="1"/>
  </cols>
  <sheetData>
    <row r="1" spans="1:15" ht="21" x14ac:dyDescent="0.3">
      <c r="A1" s="20" t="s">
        <v>117</v>
      </c>
      <c r="B1" s="1"/>
      <c r="C1" s="1"/>
    </row>
    <row r="2" spans="1:15" x14ac:dyDescent="0.3">
      <c r="A2" s="29" t="s">
        <v>135</v>
      </c>
      <c r="B2" s="1"/>
      <c r="C2" s="1"/>
    </row>
    <row r="3" spans="1:15" x14ac:dyDescent="0.3">
      <c r="B3" s="1"/>
      <c r="C3" s="1"/>
    </row>
    <row r="4" spans="1:15" x14ac:dyDescent="0.3">
      <c r="A4" s="76" t="s">
        <v>0</v>
      </c>
      <c r="B4" s="4">
        <v>94</v>
      </c>
      <c r="C4" s="1" t="s">
        <v>1</v>
      </c>
    </row>
    <row r="6" spans="1:15" x14ac:dyDescent="0.3">
      <c r="A6" s="2" t="s">
        <v>2</v>
      </c>
      <c r="E6" s="2" t="s">
        <v>136</v>
      </c>
    </row>
    <row r="7" spans="1:15" ht="16.2" thickBot="1" x14ac:dyDescent="0.35"/>
    <row r="8" spans="1:15" ht="15.9" customHeight="1" thickBot="1" x14ac:dyDescent="0.35">
      <c r="B8" s="1"/>
      <c r="C8" s="1"/>
      <c r="E8" s="79" t="s">
        <v>3</v>
      </c>
      <c r="F8" s="80"/>
      <c r="G8" s="80"/>
      <c r="H8" s="80"/>
      <c r="I8" s="80"/>
      <c r="J8" s="80"/>
      <c r="K8" s="80"/>
      <c r="L8" s="80"/>
      <c r="M8" s="81"/>
    </row>
    <row r="9" spans="1:15" ht="105.9" customHeight="1" thickBot="1" x14ac:dyDescent="0.35">
      <c r="B9" s="1"/>
      <c r="C9" s="1"/>
      <c r="D9" s="31" t="str">
        <f>C10</f>
        <v>1230462 Diogo Veiros</v>
      </c>
      <c r="E9" s="32" t="str">
        <f>C11</f>
        <v>1230948 Diogo Pereira</v>
      </c>
      <c r="F9" s="32" t="str">
        <f>C12</f>
        <v>1230917 Tiago Sampaio</v>
      </c>
      <c r="G9" s="32" t="str">
        <f>C13</f>
        <v>1211846 Vicente Sousa</v>
      </c>
      <c r="H9" s="32" t="str">
        <f>C14</f>
        <v>Student 5 No. + 1st name+last name</v>
      </c>
      <c r="I9" s="32" t="str">
        <f>C15</f>
        <v>Student 6 No. + 1st name+last name</v>
      </c>
      <c r="J9" s="32" t="str">
        <f>C16</f>
        <v>Student 7 No. + 1st name+last name</v>
      </c>
      <c r="K9" s="32" t="str">
        <f>C17</f>
        <v>Student 8 No. + 1st name+last name</v>
      </c>
      <c r="L9" s="33" t="s">
        <v>4</v>
      </c>
    </row>
    <row r="10" spans="1:15" ht="31.8" thickBot="1" x14ac:dyDescent="0.35">
      <c r="B10" s="77" t="s">
        <v>5</v>
      </c>
      <c r="C10" s="6" t="s">
        <v>137</v>
      </c>
      <c r="D10" s="30">
        <v>5</v>
      </c>
      <c r="E10" s="74">
        <v>5</v>
      </c>
      <c r="F10" s="72">
        <v>4</v>
      </c>
      <c r="G10" s="72">
        <v>4</v>
      </c>
      <c r="H10" s="72"/>
      <c r="I10" s="72"/>
      <c r="J10" s="72"/>
      <c r="K10" s="72"/>
      <c r="L10" s="36">
        <f t="shared" ref="L10:L17" si="0">AVERAGE(D10:K10)</f>
        <v>4.5</v>
      </c>
    </row>
    <row r="11" spans="1:15" ht="31.8" thickBot="1" x14ac:dyDescent="0.35">
      <c r="B11" s="78"/>
      <c r="C11" s="6" t="s">
        <v>138</v>
      </c>
      <c r="D11" s="71">
        <v>5</v>
      </c>
      <c r="E11" s="30">
        <v>5</v>
      </c>
      <c r="F11" s="73">
        <v>4</v>
      </c>
      <c r="G11" s="70">
        <v>4</v>
      </c>
      <c r="H11" s="70"/>
      <c r="I11" s="70"/>
      <c r="J11" s="70"/>
      <c r="K11" s="70"/>
      <c r="L11" s="37">
        <f t="shared" si="0"/>
        <v>4.5</v>
      </c>
      <c r="O11" s="75" t="s">
        <v>130</v>
      </c>
    </row>
    <row r="12" spans="1:15" ht="31.8" thickBot="1" x14ac:dyDescent="0.35">
      <c r="B12" s="78"/>
      <c r="C12" s="6" t="s">
        <v>139</v>
      </c>
      <c r="D12" s="70">
        <v>5</v>
      </c>
      <c r="E12" s="71">
        <v>5</v>
      </c>
      <c r="F12" s="30">
        <v>4</v>
      </c>
      <c r="G12" s="73">
        <v>4</v>
      </c>
      <c r="H12" s="70"/>
      <c r="I12" s="70"/>
      <c r="J12" s="70"/>
      <c r="K12" s="70"/>
      <c r="L12" s="37">
        <f t="shared" si="0"/>
        <v>4.5</v>
      </c>
    </row>
    <row r="13" spans="1:15" ht="31.8" thickBot="1" x14ac:dyDescent="0.35">
      <c r="B13" s="78"/>
      <c r="C13" s="6" t="s">
        <v>140</v>
      </c>
      <c r="D13" s="70">
        <v>5</v>
      </c>
      <c r="E13" s="70">
        <v>5</v>
      </c>
      <c r="F13" s="71">
        <v>5</v>
      </c>
      <c r="G13" s="30">
        <v>4</v>
      </c>
      <c r="H13" s="73"/>
      <c r="I13" s="70"/>
      <c r="J13" s="70"/>
      <c r="K13" s="70"/>
      <c r="L13" s="37">
        <f t="shared" si="0"/>
        <v>4.75</v>
      </c>
    </row>
    <row r="14" spans="1:15" ht="47.4" thickBot="1" x14ac:dyDescent="0.35">
      <c r="B14" s="78"/>
      <c r="C14" s="6" t="s">
        <v>125</v>
      </c>
      <c r="D14" s="70"/>
      <c r="E14" s="70"/>
      <c r="F14" s="70"/>
      <c r="G14" s="71"/>
      <c r="H14" s="30"/>
      <c r="I14" s="73"/>
      <c r="J14" s="70"/>
      <c r="K14" s="70"/>
      <c r="L14" s="37" t="e">
        <f t="shared" si="0"/>
        <v>#DIV/0!</v>
      </c>
    </row>
    <row r="15" spans="1:15" ht="47.4" thickBot="1" x14ac:dyDescent="0.35">
      <c r="B15" s="78"/>
      <c r="C15" s="6" t="s">
        <v>126</v>
      </c>
      <c r="D15" s="70"/>
      <c r="E15" s="70"/>
      <c r="F15" s="70"/>
      <c r="G15" s="70"/>
      <c r="H15" s="71"/>
      <c r="I15" s="30"/>
      <c r="J15" s="73"/>
      <c r="K15" s="70"/>
      <c r="L15" s="37" t="e">
        <f t="shared" si="0"/>
        <v>#DIV/0!</v>
      </c>
    </row>
    <row r="16" spans="1:15" ht="47.4" thickBot="1" x14ac:dyDescent="0.35">
      <c r="B16" s="78"/>
      <c r="C16" s="6" t="s">
        <v>124</v>
      </c>
      <c r="D16" s="70"/>
      <c r="E16" s="70"/>
      <c r="F16" s="70"/>
      <c r="G16" s="70"/>
      <c r="H16" s="70"/>
      <c r="I16" s="71"/>
      <c r="J16" s="30"/>
      <c r="K16" s="73"/>
      <c r="L16" s="37" t="e">
        <f t="shared" si="0"/>
        <v>#DIV/0!</v>
      </c>
    </row>
    <row r="17" spans="1:12" ht="47.4" thickBot="1" x14ac:dyDescent="0.35">
      <c r="B17" s="78"/>
      <c r="C17" s="6" t="s">
        <v>123</v>
      </c>
      <c r="D17" s="70"/>
      <c r="E17" s="70"/>
      <c r="F17" s="70"/>
      <c r="G17" s="70"/>
      <c r="H17" s="70"/>
      <c r="I17" s="70"/>
      <c r="J17" s="71"/>
      <c r="K17" s="30"/>
      <c r="L17" s="37" t="e">
        <f t="shared" si="0"/>
        <v>#DIV/0!</v>
      </c>
    </row>
    <row r="18" spans="1:12" ht="16.2" thickBot="1" x14ac:dyDescent="0.35">
      <c r="B18" s="1"/>
      <c r="C18" s="34" t="s">
        <v>4</v>
      </c>
      <c r="D18" s="35">
        <f t="shared" ref="D18:K18" si="1">AVERAGE(D10:D17)</f>
        <v>5</v>
      </c>
      <c r="E18" s="35">
        <f t="shared" si="1"/>
        <v>5</v>
      </c>
      <c r="F18" s="35">
        <f t="shared" si="1"/>
        <v>4.25</v>
      </c>
      <c r="G18" s="35">
        <f t="shared" si="1"/>
        <v>4</v>
      </c>
      <c r="H18" s="35" t="e">
        <f t="shared" si="1"/>
        <v>#DIV/0!</v>
      </c>
      <c r="I18" s="35" t="e">
        <f t="shared" si="1"/>
        <v>#DIV/0!</v>
      </c>
      <c r="J18" s="35" t="e">
        <f t="shared" si="1"/>
        <v>#DIV/0!</v>
      </c>
      <c r="K18" s="35" t="e">
        <f t="shared" si="1"/>
        <v>#DIV/0!</v>
      </c>
      <c r="L18" s="38"/>
    </row>
    <row r="20" spans="1:12" x14ac:dyDescent="0.3">
      <c r="A20" s="47" t="s">
        <v>122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9"/>
    </row>
    <row r="21" spans="1:12" x14ac:dyDescent="0.3">
      <c r="A21" s="57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2"/>
    </row>
    <row r="22" spans="1:12" ht="17.399999999999999" customHeight="1" x14ac:dyDescent="0.3">
      <c r="A22" s="50" t="s">
        <v>127</v>
      </c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2"/>
    </row>
    <row r="23" spans="1:12" ht="17.399999999999999" customHeight="1" x14ac:dyDescent="0.3">
      <c r="A23" s="53" t="s">
        <v>6</v>
      </c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2"/>
    </row>
    <row r="24" spans="1:12" ht="17.399999999999999" customHeight="1" x14ac:dyDescent="0.3">
      <c r="A24" s="50" t="s">
        <v>131</v>
      </c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2"/>
    </row>
    <row r="25" spans="1:12" ht="17.399999999999999" customHeight="1" x14ac:dyDescent="0.3">
      <c r="A25" s="50">
        <v>0</v>
      </c>
      <c r="B25" s="51" t="s">
        <v>7</v>
      </c>
      <c r="C25" s="51"/>
      <c r="D25" s="51"/>
      <c r="E25" s="51"/>
      <c r="F25" s="51"/>
      <c r="G25" s="51"/>
      <c r="H25" s="51"/>
      <c r="I25" s="51"/>
      <c r="J25" s="51"/>
      <c r="K25" s="51"/>
      <c r="L25" s="52"/>
    </row>
    <row r="26" spans="1:12" ht="17.399999999999999" customHeight="1" x14ac:dyDescent="0.3">
      <c r="A26" s="50">
        <v>1</v>
      </c>
      <c r="B26" s="51" t="s">
        <v>8</v>
      </c>
      <c r="C26" s="51"/>
      <c r="D26" s="51"/>
      <c r="E26" s="51"/>
      <c r="F26" s="51"/>
      <c r="G26" s="58" t="s">
        <v>134</v>
      </c>
      <c r="H26" s="51"/>
      <c r="I26" s="51"/>
      <c r="J26" s="51"/>
      <c r="K26" s="51"/>
      <c r="L26" s="52"/>
    </row>
    <row r="27" spans="1:12" ht="17.399999999999999" customHeight="1" x14ac:dyDescent="0.3">
      <c r="A27" s="50">
        <v>2</v>
      </c>
      <c r="B27" s="51" t="s">
        <v>9</v>
      </c>
      <c r="C27" s="51"/>
      <c r="D27" s="51"/>
      <c r="E27" s="51"/>
      <c r="F27" s="51"/>
      <c r="G27" s="51" t="s">
        <v>132</v>
      </c>
      <c r="H27" s="51"/>
      <c r="I27" s="51"/>
      <c r="J27" s="51"/>
      <c r="K27" s="51"/>
      <c r="L27" s="52"/>
    </row>
    <row r="28" spans="1:12" ht="17.399999999999999" customHeight="1" x14ac:dyDescent="0.3">
      <c r="A28" s="50">
        <v>3</v>
      </c>
      <c r="B28" s="51" t="s">
        <v>10</v>
      </c>
      <c r="C28" s="51"/>
      <c r="D28" s="51"/>
      <c r="E28" s="51"/>
      <c r="F28" s="51"/>
      <c r="G28" s="51" t="s">
        <v>133</v>
      </c>
      <c r="H28" s="51"/>
      <c r="I28" s="51"/>
      <c r="J28" s="51"/>
      <c r="K28" s="51"/>
      <c r="L28" s="52"/>
    </row>
    <row r="29" spans="1:12" ht="17.399999999999999" customHeight="1" x14ac:dyDescent="0.3">
      <c r="A29" s="50">
        <v>4</v>
      </c>
      <c r="B29" s="51" t="s">
        <v>11</v>
      </c>
      <c r="C29" s="51"/>
      <c r="D29" s="51"/>
      <c r="E29" s="51"/>
      <c r="F29" s="51"/>
      <c r="G29" s="51"/>
      <c r="H29" s="51"/>
      <c r="I29" s="51"/>
      <c r="J29" s="51"/>
      <c r="K29" s="51"/>
      <c r="L29" s="52"/>
    </row>
    <row r="30" spans="1:12" ht="17.399999999999999" customHeight="1" x14ac:dyDescent="0.3">
      <c r="A30" s="54">
        <v>5</v>
      </c>
      <c r="B30" s="55" t="s">
        <v>12</v>
      </c>
      <c r="C30" s="55"/>
      <c r="D30" s="55"/>
      <c r="E30" s="55"/>
      <c r="F30" s="55"/>
      <c r="G30" s="55"/>
      <c r="H30" s="55"/>
      <c r="I30" s="55"/>
      <c r="J30" s="55"/>
      <c r="K30" s="55"/>
      <c r="L30" s="56"/>
    </row>
  </sheetData>
  <mergeCells count="2">
    <mergeCell ref="B10:B17"/>
    <mergeCell ref="E8:M8"/>
  </mergeCells>
  <dataValidations count="1">
    <dataValidation type="list" allowBlank="1" showInputMessage="1" showErrorMessage="1" sqref="D10:K17" xr:uid="{00000000-0002-0000-0000-000000000000}">
      <formula1>$A$25:$A$30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25"/>
  <sheetViews>
    <sheetView topLeftCell="A17" workbookViewId="0">
      <selection activeCell="C14" sqref="C14"/>
    </sheetView>
  </sheetViews>
  <sheetFormatPr defaultColWidth="20.09765625" defaultRowHeight="15.6" x14ac:dyDescent="0.3"/>
  <cols>
    <col min="1" max="1" width="11.09765625" bestFit="1" customWidth="1"/>
    <col min="2" max="2" width="18" bestFit="1" customWidth="1"/>
    <col min="4" max="4" width="22.5" customWidth="1"/>
    <col min="5" max="10" width="27.5" customWidth="1"/>
  </cols>
  <sheetData>
    <row r="1" spans="1:10" ht="21" x14ac:dyDescent="0.4">
      <c r="A1" s="25" t="s">
        <v>13</v>
      </c>
    </row>
    <row r="2" spans="1:10" ht="16.2" thickBot="1" x14ac:dyDescent="0.35"/>
    <row r="3" spans="1:10" x14ac:dyDescent="0.3">
      <c r="A3" s="77" t="s">
        <v>128</v>
      </c>
      <c r="B3" s="84" t="s">
        <v>14</v>
      </c>
      <c r="C3" s="84" t="s">
        <v>15</v>
      </c>
      <c r="D3" s="82" t="s">
        <v>16</v>
      </c>
      <c r="E3" s="7">
        <v>0</v>
      </c>
      <c r="F3" s="17">
        <v>1</v>
      </c>
      <c r="G3" s="17">
        <v>2</v>
      </c>
      <c r="H3" s="17">
        <v>3</v>
      </c>
      <c r="I3" s="17">
        <v>4</v>
      </c>
      <c r="J3" s="8">
        <v>5</v>
      </c>
    </row>
    <row r="4" spans="1:10" ht="31.2" x14ac:dyDescent="0.3">
      <c r="A4" s="78"/>
      <c r="B4" s="85"/>
      <c r="C4" s="85"/>
      <c r="D4" s="83"/>
      <c r="E4" s="10" t="s">
        <v>17</v>
      </c>
      <c r="F4" s="5" t="s">
        <v>18</v>
      </c>
      <c r="G4" s="5" t="s">
        <v>19</v>
      </c>
      <c r="H4" s="5" t="s">
        <v>20</v>
      </c>
      <c r="I4" s="5" t="s">
        <v>21</v>
      </c>
      <c r="J4" s="11" t="s">
        <v>22</v>
      </c>
    </row>
    <row r="5" spans="1:10" ht="47.4" thickBot="1" x14ac:dyDescent="0.35">
      <c r="A5" s="78"/>
      <c r="B5" s="85"/>
      <c r="C5" s="85"/>
      <c r="D5" s="83"/>
      <c r="E5" s="18" t="s">
        <v>23</v>
      </c>
      <c r="F5" s="19" t="s">
        <v>24</v>
      </c>
      <c r="G5" s="19" t="s">
        <v>25</v>
      </c>
      <c r="H5" s="19" t="s">
        <v>26</v>
      </c>
      <c r="I5" s="19" t="s">
        <v>27</v>
      </c>
      <c r="J5" s="12" t="s">
        <v>28</v>
      </c>
    </row>
    <row r="6" spans="1:10" ht="46.8" x14ac:dyDescent="0.3">
      <c r="A6" s="10" t="s">
        <v>141</v>
      </c>
      <c r="B6" s="24" t="s">
        <v>137</v>
      </c>
      <c r="C6" s="24">
        <v>5</v>
      </c>
      <c r="D6" s="45" t="s">
        <v>159</v>
      </c>
      <c r="E6" s="26" t="s">
        <v>23</v>
      </c>
      <c r="F6" s="27" t="s">
        <v>24</v>
      </c>
      <c r="G6" s="27" t="s">
        <v>25</v>
      </c>
      <c r="H6" s="27" t="s">
        <v>26</v>
      </c>
      <c r="I6" s="27" t="s">
        <v>27</v>
      </c>
      <c r="J6" s="28" t="s">
        <v>29</v>
      </c>
    </row>
    <row r="7" spans="1:10" ht="46.8" x14ac:dyDescent="0.3">
      <c r="A7" s="10" t="s">
        <v>142</v>
      </c>
      <c r="B7" s="24" t="s">
        <v>137</v>
      </c>
      <c r="C7" s="24">
        <v>5</v>
      </c>
      <c r="D7" s="45" t="s">
        <v>159</v>
      </c>
      <c r="E7" s="10" t="s">
        <v>23</v>
      </c>
      <c r="F7" s="5" t="s">
        <v>24</v>
      </c>
      <c r="G7" s="5" t="s">
        <v>25</v>
      </c>
      <c r="H7" s="5" t="s">
        <v>26</v>
      </c>
      <c r="I7" s="5" t="s">
        <v>27</v>
      </c>
      <c r="J7" s="28" t="s">
        <v>29</v>
      </c>
    </row>
    <row r="8" spans="1:10" ht="46.8" x14ac:dyDescent="0.3">
      <c r="A8" s="10" t="s">
        <v>143</v>
      </c>
      <c r="B8" s="24" t="s">
        <v>137</v>
      </c>
      <c r="C8" s="24">
        <v>5</v>
      </c>
      <c r="D8" s="45" t="s">
        <v>159</v>
      </c>
      <c r="E8" s="10" t="s">
        <v>23</v>
      </c>
      <c r="F8" s="5" t="s">
        <v>24</v>
      </c>
      <c r="G8" s="5" t="s">
        <v>25</v>
      </c>
      <c r="H8" s="5" t="s">
        <v>26</v>
      </c>
      <c r="I8" s="5" t="s">
        <v>27</v>
      </c>
      <c r="J8" s="28" t="s">
        <v>29</v>
      </c>
    </row>
    <row r="9" spans="1:10" ht="46.8" x14ac:dyDescent="0.3">
      <c r="A9" s="10" t="s">
        <v>144</v>
      </c>
      <c r="B9" s="24" t="s">
        <v>137</v>
      </c>
      <c r="C9" s="24">
        <v>5</v>
      </c>
      <c r="D9" s="45" t="s">
        <v>159</v>
      </c>
      <c r="E9" s="10" t="s">
        <v>23</v>
      </c>
      <c r="F9" s="5" t="s">
        <v>24</v>
      </c>
      <c r="G9" s="5" t="s">
        <v>25</v>
      </c>
      <c r="H9" s="5" t="s">
        <v>26</v>
      </c>
      <c r="I9" s="5" t="s">
        <v>27</v>
      </c>
      <c r="J9" s="28" t="s">
        <v>29</v>
      </c>
    </row>
    <row r="10" spans="1:10" ht="46.8" x14ac:dyDescent="0.3">
      <c r="A10" s="10" t="s">
        <v>145</v>
      </c>
      <c r="B10" s="24" t="s">
        <v>140</v>
      </c>
      <c r="C10" s="24">
        <v>5</v>
      </c>
      <c r="D10" s="45"/>
      <c r="E10" s="10" t="s">
        <v>23</v>
      </c>
      <c r="F10" s="5" t="s">
        <v>24</v>
      </c>
      <c r="G10" s="5" t="s">
        <v>25</v>
      </c>
      <c r="H10" s="5" t="s">
        <v>26</v>
      </c>
      <c r="I10" s="5" t="s">
        <v>27</v>
      </c>
      <c r="J10" s="28" t="s">
        <v>29</v>
      </c>
    </row>
    <row r="11" spans="1:10" ht="46.8" x14ac:dyDescent="0.3">
      <c r="A11" s="10" t="s">
        <v>146</v>
      </c>
      <c r="B11" s="24" t="s">
        <v>139</v>
      </c>
      <c r="C11" s="24">
        <v>4</v>
      </c>
      <c r="D11" s="45"/>
      <c r="E11" s="10" t="s">
        <v>23</v>
      </c>
      <c r="F11" s="5" t="s">
        <v>24</v>
      </c>
      <c r="G11" s="5" t="s">
        <v>25</v>
      </c>
      <c r="H11" s="5" t="s">
        <v>26</v>
      </c>
      <c r="I11" s="5" t="s">
        <v>27</v>
      </c>
      <c r="J11" s="28" t="s">
        <v>29</v>
      </c>
    </row>
    <row r="12" spans="1:10" ht="46.8" x14ac:dyDescent="0.3">
      <c r="A12" s="10" t="s">
        <v>147</v>
      </c>
      <c r="B12" s="24" t="s">
        <v>138</v>
      </c>
      <c r="C12" s="24">
        <v>5</v>
      </c>
      <c r="D12" s="45"/>
      <c r="E12" s="10" t="s">
        <v>23</v>
      </c>
      <c r="F12" s="5" t="s">
        <v>24</v>
      </c>
      <c r="G12" s="5" t="s">
        <v>25</v>
      </c>
      <c r="H12" s="5" t="s">
        <v>26</v>
      </c>
      <c r="I12" s="5" t="s">
        <v>27</v>
      </c>
      <c r="J12" s="28" t="s">
        <v>29</v>
      </c>
    </row>
    <row r="13" spans="1:10" ht="46.8" x14ac:dyDescent="0.3">
      <c r="A13" s="10" t="s">
        <v>148</v>
      </c>
      <c r="B13" s="24" t="s">
        <v>137</v>
      </c>
      <c r="C13" s="24">
        <v>5</v>
      </c>
      <c r="D13" s="45"/>
      <c r="E13" s="10" t="s">
        <v>23</v>
      </c>
      <c r="F13" s="5" t="s">
        <v>24</v>
      </c>
      <c r="G13" s="5" t="s">
        <v>25</v>
      </c>
      <c r="H13" s="5" t="s">
        <v>26</v>
      </c>
      <c r="I13" s="5" t="s">
        <v>27</v>
      </c>
      <c r="J13" s="28" t="s">
        <v>29</v>
      </c>
    </row>
    <row r="14" spans="1:10" ht="46.8" x14ac:dyDescent="0.3">
      <c r="A14" s="10" t="s">
        <v>149</v>
      </c>
      <c r="B14" s="24" t="s">
        <v>138</v>
      </c>
      <c r="C14" s="24">
        <v>5</v>
      </c>
      <c r="D14" s="45"/>
      <c r="E14" s="10" t="s">
        <v>23</v>
      </c>
      <c r="F14" s="5" t="s">
        <v>24</v>
      </c>
      <c r="G14" s="5" t="s">
        <v>25</v>
      </c>
      <c r="H14" s="5" t="s">
        <v>26</v>
      </c>
      <c r="I14" s="5" t="s">
        <v>27</v>
      </c>
      <c r="J14" s="28" t="s">
        <v>29</v>
      </c>
    </row>
    <row r="15" spans="1:10" ht="46.8" x14ac:dyDescent="0.3">
      <c r="A15" s="10" t="s">
        <v>150</v>
      </c>
      <c r="B15" s="24" t="s">
        <v>137</v>
      </c>
      <c r="C15" s="24">
        <v>3</v>
      </c>
      <c r="D15" s="45"/>
      <c r="E15" s="10" t="s">
        <v>23</v>
      </c>
      <c r="F15" s="5" t="s">
        <v>24</v>
      </c>
      <c r="G15" s="5" t="s">
        <v>25</v>
      </c>
      <c r="H15" s="5" t="s">
        <v>26</v>
      </c>
      <c r="I15" s="5" t="s">
        <v>27</v>
      </c>
      <c r="J15" s="28" t="s">
        <v>29</v>
      </c>
    </row>
    <row r="16" spans="1:10" ht="46.8" x14ac:dyDescent="0.3">
      <c r="A16" s="10" t="s">
        <v>151</v>
      </c>
      <c r="B16" s="24" t="s">
        <v>138</v>
      </c>
      <c r="C16" s="24">
        <v>4</v>
      </c>
      <c r="D16" s="45"/>
      <c r="E16" s="10" t="s">
        <v>23</v>
      </c>
      <c r="F16" s="5" t="s">
        <v>24</v>
      </c>
      <c r="G16" s="5" t="s">
        <v>25</v>
      </c>
      <c r="H16" s="5" t="s">
        <v>26</v>
      </c>
      <c r="I16" s="5" t="s">
        <v>27</v>
      </c>
      <c r="J16" s="28" t="s">
        <v>29</v>
      </c>
    </row>
    <row r="17" spans="1:10" ht="46.8" x14ac:dyDescent="0.3">
      <c r="A17" s="10" t="s">
        <v>152</v>
      </c>
      <c r="B17" s="24" t="s">
        <v>139</v>
      </c>
      <c r="C17" s="24">
        <v>4</v>
      </c>
      <c r="D17" s="45"/>
      <c r="E17" s="10" t="s">
        <v>23</v>
      </c>
      <c r="F17" s="5" t="s">
        <v>24</v>
      </c>
      <c r="G17" s="5" t="s">
        <v>25</v>
      </c>
      <c r="H17" s="5" t="s">
        <v>26</v>
      </c>
      <c r="I17" s="5" t="s">
        <v>27</v>
      </c>
      <c r="J17" s="28" t="s">
        <v>29</v>
      </c>
    </row>
    <row r="18" spans="1:10" ht="46.8" x14ac:dyDescent="0.3">
      <c r="A18" s="10" t="s">
        <v>153</v>
      </c>
      <c r="B18" s="24" t="s">
        <v>139</v>
      </c>
      <c r="C18" s="24">
        <v>4</v>
      </c>
      <c r="D18" s="45"/>
      <c r="E18" s="10" t="s">
        <v>23</v>
      </c>
      <c r="F18" s="5" t="s">
        <v>24</v>
      </c>
      <c r="G18" s="5" t="s">
        <v>25</v>
      </c>
      <c r="H18" s="5" t="s">
        <v>26</v>
      </c>
      <c r="I18" s="5" t="s">
        <v>27</v>
      </c>
      <c r="J18" s="28" t="s">
        <v>29</v>
      </c>
    </row>
    <row r="19" spans="1:10" ht="46.8" x14ac:dyDescent="0.3">
      <c r="A19" s="10" t="s">
        <v>154</v>
      </c>
      <c r="B19" s="24" t="s">
        <v>140</v>
      </c>
      <c r="C19" s="24">
        <v>4</v>
      </c>
      <c r="D19" s="45"/>
      <c r="E19" s="10" t="s">
        <v>23</v>
      </c>
      <c r="F19" s="5" t="s">
        <v>24</v>
      </c>
      <c r="G19" s="5" t="s">
        <v>25</v>
      </c>
      <c r="H19" s="5" t="s">
        <v>26</v>
      </c>
      <c r="I19" s="5" t="s">
        <v>27</v>
      </c>
      <c r="J19" s="28" t="s">
        <v>29</v>
      </c>
    </row>
    <row r="20" spans="1:10" ht="46.8" x14ac:dyDescent="0.3">
      <c r="A20" s="10" t="s">
        <v>155</v>
      </c>
      <c r="B20" s="24" t="s">
        <v>140</v>
      </c>
      <c r="C20" s="24">
        <v>5</v>
      </c>
      <c r="D20" s="45"/>
      <c r="E20" s="10" t="s">
        <v>23</v>
      </c>
      <c r="F20" s="5" t="s">
        <v>24</v>
      </c>
      <c r="G20" s="5" t="s">
        <v>25</v>
      </c>
      <c r="H20" s="5" t="s">
        <v>26</v>
      </c>
      <c r="I20" s="5" t="s">
        <v>27</v>
      </c>
      <c r="J20" s="28" t="s">
        <v>29</v>
      </c>
    </row>
    <row r="21" spans="1:10" ht="46.8" x14ac:dyDescent="0.3">
      <c r="A21" s="10" t="s">
        <v>162</v>
      </c>
      <c r="B21" s="24" t="s">
        <v>137</v>
      </c>
      <c r="C21" s="24">
        <v>5</v>
      </c>
      <c r="D21" s="45"/>
      <c r="E21" s="10" t="s">
        <v>23</v>
      </c>
      <c r="F21" s="5" t="s">
        <v>24</v>
      </c>
      <c r="G21" s="5" t="s">
        <v>25</v>
      </c>
      <c r="H21" s="5" t="s">
        <v>26</v>
      </c>
      <c r="I21" s="5" t="s">
        <v>27</v>
      </c>
      <c r="J21" s="28" t="s">
        <v>29</v>
      </c>
    </row>
    <row r="22" spans="1:10" ht="46.8" x14ac:dyDescent="0.3">
      <c r="A22" s="10" t="s">
        <v>156</v>
      </c>
      <c r="B22" s="24" t="s">
        <v>137</v>
      </c>
      <c r="C22" s="24">
        <v>5</v>
      </c>
      <c r="D22" s="45" t="s">
        <v>159</v>
      </c>
      <c r="E22" s="10" t="s">
        <v>23</v>
      </c>
      <c r="F22" s="5" t="s">
        <v>24</v>
      </c>
      <c r="G22" s="5" t="s">
        <v>25</v>
      </c>
      <c r="H22" s="5" t="s">
        <v>26</v>
      </c>
      <c r="I22" s="5" t="s">
        <v>27</v>
      </c>
      <c r="J22" s="28" t="s">
        <v>29</v>
      </c>
    </row>
    <row r="23" spans="1:10" ht="62.4" x14ac:dyDescent="0.3">
      <c r="A23" s="10" t="s">
        <v>157</v>
      </c>
      <c r="B23" s="24" t="s">
        <v>137</v>
      </c>
      <c r="C23" s="24">
        <v>5</v>
      </c>
      <c r="D23" s="45" t="s">
        <v>161</v>
      </c>
      <c r="E23" s="10" t="s">
        <v>23</v>
      </c>
      <c r="F23" s="5" t="s">
        <v>24</v>
      </c>
      <c r="G23" s="5" t="s">
        <v>25</v>
      </c>
      <c r="H23" s="5" t="s">
        <v>26</v>
      </c>
      <c r="I23" s="5" t="s">
        <v>27</v>
      </c>
      <c r="J23" s="28" t="s">
        <v>29</v>
      </c>
    </row>
    <row r="24" spans="1:10" ht="62.4" x14ac:dyDescent="0.3">
      <c r="A24" s="10" t="s">
        <v>158</v>
      </c>
      <c r="B24" s="24" t="s">
        <v>138</v>
      </c>
      <c r="C24" s="24">
        <v>4</v>
      </c>
      <c r="D24" s="45" t="s">
        <v>160</v>
      </c>
      <c r="E24" s="10" t="s">
        <v>23</v>
      </c>
      <c r="F24" s="5" t="s">
        <v>24</v>
      </c>
      <c r="G24" s="5" t="s">
        <v>25</v>
      </c>
      <c r="H24" s="5" t="s">
        <v>26</v>
      </c>
      <c r="I24" s="5" t="s">
        <v>27</v>
      </c>
      <c r="J24" s="28" t="s">
        <v>29</v>
      </c>
    </row>
    <row r="25" spans="1:10" ht="47.4" thickBot="1" x14ac:dyDescent="0.35">
      <c r="A25" s="18"/>
      <c r="B25" s="39"/>
      <c r="C25" s="39"/>
      <c r="D25" s="46"/>
      <c r="E25" s="18" t="s">
        <v>23</v>
      </c>
      <c r="F25" s="19" t="s">
        <v>24</v>
      </c>
      <c r="G25" s="19" t="s">
        <v>25</v>
      </c>
      <c r="H25" s="19" t="s">
        <v>26</v>
      </c>
      <c r="I25" s="19" t="s">
        <v>27</v>
      </c>
      <c r="J25" s="28" t="s">
        <v>29</v>
      </c>
    </row>
  </sheetData>
  <mergeCells count="4">
    <mergeCell ref="D3:D5"/>
    <mergeCell ref="C3:C5"/>
    <mergeCell ref="B3:B5"/>
    <mergeCell ref="A3:A5"/>
  </mergeCells>
  <phoneticPr fontId="3" type="noConversion"/>
  <conditionalFormatting sqref="E6:J25">
    <cfRule type="expression" dxfId="0" priority="1" stopIfTrue="1">
      <formula>$C6=E$3</formula>
    </cfRule>
  </conditionalFormatting>
  <dataValidations count="2">
    <dataValidation type="list" allowBlank="1" showInputMessage="1" showErrorMessage="1" sqref="C25" xr:uid="{00000000-0002-0000-0100-000000000000}">
      <formula1>$E$40:$J$40</formula1>
    </dataValidation>
    <dataValidation type="list" allowBlank="1" showInputMessage="1" showErrorMessage="1" sqref="C6:C24" xr:uid="{00000000-0002-0000-0100-000001000000}">
      <formula1>$E$3:$J$3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'Team and Self Assessment'!$C$10:$C$17</xm:f>
          </x14:formula1>
          <xm:sqref>B6:B25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T10"/>
  <sheetViews>
    <sheetView tabSelected="1" topLeftCell="A2" workbookViewId="0">
      <selection activeCell="G7" sqref="G7"/>
    </sheetView>
  </sheetViews>
  <sheetFormatPr defaultColWidth="10.8984375" defaultRowHeight="15.6" x14ac:dyDescent="0.3"/>
  <cols>
    <col min="1" max="1" width="14.8984375" style="1" customWidth="1"/>
    <col min="2" max="2" width="7.09765625" style="1" bestFit="1" customWidth="1"/>
    <col min="3" max="10" width="8.796875" style="1" customWidth="1"/>
    <col min="11" max="11" width="12.09765625" style="1" bestFit="1" customWidth="1"/>
    <col min="12" max="18" width="17.3984375" style="62" customWidth="1"/>
    <col min="19" max="19" width="36.69921875" style="62" customWidth="1"/>
    <col min="20" max="20" width="17.3984375" style="62" customWidth="1"/>
    <col min="21" max="21" width="7.3984375" style="1" bestFit="1" customWidth="1"/>
    <col min="22" max="16384" width="10.8984375" style="1"/>
  </cols>
  <sheetData>
    <row r="1" spans="1:20" ht="21" x14ac:dyDescent="0.3">
      <c r="A1" s="20" t="s">
        <v>32</v>
      </c>
      <c r="B1" s="9"/>
      <c r="C1" s="9"/>
      <c r="D1" s="9"/>
      <c r="E1" s="9"/>
      <c r="F1" s="9"/>
      <c r="G1" s="9"/>
      <c r="H1" s="9"/>
      <c r="I1" s="9"/>
      <c r="J1" s="9"/>
    </row>
    <row r="2" spans="1:20" ht="16.2" thickBot="1" x14ac:dyDescent="0.35"/>
    <row r="3" spans="1:20" s="61" customFormat="1" ht="99.6" customHeight="1" x14ac:dyDescent="0.3">
      <c r="A3" s="59" t="s">
        <v>33</v>
      </c>
      <c r="B3" s="60" t="s">
        <v>30</v>
      </c>
      <c r="C3" s="60" t="str">
        <f>'Team and Self Assessment'!C10</f>
        <v>1230462 Diogo Veiros</v>
      </c>
      <c r="D3" s="60" t="str">
        <f>'Team and Self Assessment'!C11</f>
        <v>1230948 Diogo Pereira</v>
      </c>
      <c r="E3" s="60" t="str">
        <f>'Team and Self Assessment'!C12</f>
        <v>1230917 Tiago Sampaio</v>
      </c>
      <c r="F3" s="60" t="str">
        <f>'Team and Self Assessment'!C13</f>
        <v>1211846 Vicente Sousa</v>
      </c>
      <c r="G3" s="60" t="str">
        <f>'Team and Self Assessment'!C14</f>
        <v>Student 5 No. + 1st name+last name</v>
      </c>
      <c r="H3" s="60" t="str">
        <f>'Team and Self Assessment'!C15</f>
        <v>Student 6 No. + 1st name+last name</v>
      </c>
      <c r="I3" s="60" t="str">
        <f>'Team and Self Assessment'!C16</f>
        <v>Student 7 No. + 1st name+last name</v>
      </c>
      <c r="J3" s="60" t="str">
        <f>'Team and Self Assessment'!C17</f>
        <v>Student 8 No. + 1st name+last name</v>
      </c>
      <c r="K3" s="60" t="s">
        <v>4</v>
      </c>
      <c r="L3" s="63">
        <f>0</f>
        <v>0</v>
      </c>
      <c r="M3" s="64">
        <f>1</f>
        <v>1</v>
      </c>
      <c r="N3" s="64">
        <f>2</f>
        <v>2</v>
      </c>
      <c r="O3" s="63">
        <f>3</f>
        <v>3</v>
      </c>
      <c r="P3" s="63">
        <f>4</f>
        <v>4</v>
      </c>
      <c r="Q3" s="63">
        <f>5</f>
        <v>5</v>
      </c>
      <c r="R3" s="64" t="s">
        <v>34</v>
      </c>
      <c r="S3" s="65" t="s">
        <v>16</v>
      </c>
      <c r="T3" s="62"/>
    </row>
    <row r="4" spans="1:20" ht="36" x14ac:dyDescent="0.3">
      <c r="A4" s="10" t="s">
        <v>35</v>
      </c>
      <c r="B4" s="13">
        <v>0.1</v>
      </c>
      <c r="C4" s="21">
        <v>5</v>
      </c>
      <c r="D4" s="21">
        <v>5</v>
      </c>
      <c r="E4" s="21">
        <v>4</v>
      </c>
      <c r="F4" s="21">
        <v>4</v>
      </c>
      <c r="G4" s="21"/>
      <c r="H4" s="21"/>
      <c r="I4" s="21"/>
      <c r="J4" s="21"/>
      <c r="K4" s="22">
        <f>AVERAGE(C4:J4)</f>
        <v>4.5</v>
      </c>
      <c r="L4" s="66" t="s">
        <v>36</v>
      </c>
      <c r="M4" s="66" t="s">
        <v>37</v>
      </c>
      <c r="N4" s="66" t="s">
        <v>38</v>
      </c>
      <c r="O4" s="66" t="s">
        <v>39</v>
      </c>
      <c r="P4" s="66" t="s">
        <v>40</v>
      </c>
      <c r="Q4" s="66" t="s">
        <v>41</v>
      </c>
      <c r="R4" s="66"/>
      <c r="S4" s="67"/>
    </row>
    <row r="5" spans="1:20" ht="72" x14ac:dyDescent="0.3">
      <c r="A5" s="10" t="s">
        <v>118</v>
      </c>
      <c r="B5" s="13">
        <v>0.2</v>
      </c>
      <c r="C5" s="21">
        <v>4</v>
      </c>
      <c r="D5" s="21">
        <v>4</v>
      </c>
      <c r="E5" s="21">
        <v>4</v>
      </c>
      <c r="F5" s="21">
        <v>3</v>
      </c>
      <c r="G5" s="21"/>
      <c r="H5" s="21"/>
      <c r="I5" s="21"/>
      <c r="J5" s="21"/>
      <c r="K5" s="22">
        <f>AVERAGE(C5:J5)</f>
        <v>3.75</v>
      </c>
      <c r="L5" s="66" t="s">
        <v>42</v>
      </c>
      <c r="M5" s="66" t="s">
        <v>43</v>
      </c>
      <c r="N5" s="66" t="s">
        <v>44</v>
      </c>
      <c r="O5" s="66" t="s">
        <v>45</v>
      </c>
      <c r="P5" s="66" t="s">
        <v>46</v>
      </c>
      <c r="Q5" s="66" t="s">
        <v>47</v>
      </c>
      <c r="R5" s="66"/>
      <c r="S5" s="67"/>
    </row>
    <row r="6" spans="1:20" ht="60" x14ac:dyDescent="0.3">
      <c r="A6" s="10" t="s">
        <v>48</v>
      </c>
      <c r="B6" s="13">
        <v>0.5</v>
      </c>
      <c r="C6" s="21">
        <v>4</v>
      </c>
      <c r="D6" s="21">
        <v>4</v>
      </c>
      <c r="E6" s="21">
        <v>4</v>
      </c>
      <c r="F6" s="21">
        <v>4</v>
      </c>
      <c r="G6" s="21"/>
      <c r="H6" s="21"/>
      <c r="I6" s="21"/>
      <c r="J6" s="21"/>
      <c r="K6" s="22">
        <f>AVERAGE(C6:J6)</f>
        <v>4</v>
      </c>
      <c r="L6" s="66" t="s">
        <v>49</v>
      </c>
      <c r="M6" s="66" t="s">
        <v>50</v>
      </c>
      <c r="N6" s="66" t="s">
        <v>51</v>
      </c>
      <c r="O6" s="66" t="s">
        <v>52</v>
      </c>
      <c r="P6" s="66" t="s">
        <v>53</v>
      </c>
      <c r="Q6" s="66" t="s">
        <v>47</v>
      </c>
      <c r="R6" s="66"/>
      <c r="S6" s="67"/>
    </row>
    <row r="7" spans="1:20" ht="60" x14ac:dyDescent="0.3">
      <c r="A7" s="10" t="s">
        <v>54</v>
      </c>
      <c r="B7" s="13">
        <v>0.2</v>
      </c>
      <c r="C7" s="21">
        <v>4</v>
      </c>
      <c r="D7" s="21">
        <v>4</v>
      </c>
      <c r="E7" s="21">
        <v>4</v>
      </c>
      <c r="F7" s="21">
        <v>4</v>
      </c>
      <c r="G7" s="21"/>
      <c r="H7" s="21"/>
      <c r="I7" s="21"/>
      <c r="J7" s="21"/>
      <c r="K7" s="22">
        <f>AVERAGE(C7:J7)</f>
        <v>4</v>
      </c>
      <c r="L7" s="66" t="s">
        <v>55</v>
      </c>
      <c r="M7" s="66" t="s">
        <v>56</v>
      </c>
      <c r="N7" s="66" t="s">
        <v>57</v>
      </c>
      <c r="O7" s="66" t="s">
        <v>58</v>
      </c>
      <c r="P7" s="66" t="s">
        <v>59</v>
      </c>
      <c r="Q7" s="66" t="s">
        <v>47</v>
      </c>
      <c r="R7" s="66"/>
      <c r="S7" s="67"/>
    </row>
    <row r="8" spans="1:20" x14ac:dyDescent="0.3">
      <c r="A8" s="10" t="s">
        <v>31</v>
      </c>
      <c r="B8" s="14">
        <f>SUM(B4:B7)</f>
        <v>1</v>
      </c>
      <c r="C8" s="5">
        <f t="shared" ref="C8:J8" si="0">SUMPRODUCT(C4:C7,$B$4:$B$7)</f>
        <v>4.0999999999999996</v>
      </c>
      <c r="D8" s="5">
        <f t="shared" si="0"/>
        <v>4.0999999999999996</v>
      </c>
      <c r="E8" s="5">
        <f t="shared" si="0"/>
        <v>4</v>
      </c>
      <c r="F8" s="5">
        <f t="shared" si="0"/>
        <v>3.8</v>
      </c>
      <c r="G8" s="5">
        <f t="shared" si="0"/>
        <v>0</v>
      </c>
      <c r="H8" s="5">
        <f t="shared" si="0"/>
        <v>0</v>
      </c>
      <c r="I8" s="5">
        <f t="shared" si="0"/>
        <v>0</v>
      </c>
      <c r="J8" s="5">
        <f t="shared" si="0"/>
        <v>0</v>
      </c>
      <c r="K8" s="22"/>
      <c r="L8" s="66"/>
      <c r="M8" s="66"/>
      <c r="N8" s="66"/>
      <c r="O8" s="66"/>
      <c r="P8" s="66"/>
      <c r="Q8" s="66"/>
      <c r="R8" s="66"/>
      <c r="S8" s="67"/>
    </row>
    <row r="9" spans="1:20" ht="16.2" thickBot="1" x14ac:dyDescent="0.35">
      <c r="A9" s="18" t="s">
        <v>60</v>
      </c>
      <c r="B9" s="19"/>
      <c r="C9" s="19">
        <f>C8/5*20</f>
        <v>16.399999999999999</v>
      </c>
      <c r="D9" s="19">
        <f t="shared" ref="D9:J9" si="1">D8/5*20</f>
        <v>16.399999999999999</v>
      </c>
      <c r="E9" s="19">
        <f t="shared" si="1"/>
        <v>16</v>
      </c>
      <c r="F9" s="19">
        <f t="shared" si="1"/>
        <v>15.2</v>
      </c>
      <c r="G9" s="19">
        <f t="shared" si="1"/>
        <v>0</v>
      </c>
      <c r="H9" s="19">
        <f t="shared" si="1"/>
        <v>0</v>
      </c>
      <c r="I9" s="19">
        <f t="shared" si="1"/>
        <v>0</v>
      </c>
      <c r="J9" s="19">
        <f t="shared" si="1"/>
        <v>0</v>
      </c>
      <c r="K9" s="23"/>
      <c r="L9" s="68"/>
      <c r="M9" s="68"/>
      <c r="N9" s="68"/>
      <c r="O9" s="68"/>
      <c r="P9" s="68"/>
      <c r="Q9" s="68"/>
      <c r="R9" s="68"/>
      <c r="S9" s="69"/>
    </row>
    <row r="10" spans="1:20" x14ac:dyDescent="0.3">
      <c r="A10" s="3"/>
    </row>
  </sheetData>
  <phoneticPr fontId="3" type="noConversion"/>
  <dataValidations count="1">
    <dataValidation type="list" allowBlank="1" showInputMessage="1" showErrorMessage="1" sqref="C4:J7" xr:uid="{00000000-0002-0000-0200-000000000000}">
      <formula1>$L$3:$Q$3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S17"/>
  <sheetViews>
    <sheetView topLeftCell="A8" workbookViewId="0">
      <selection activeCell="H10" sqref="H10"/>
    </sheetView>
  </sheetViews>
  <sheetFormatPr defaultColWidth="10.8984375" defaultRowHeight="15.6" x14ac:dyDescent="0.3"/>
  <cols>
    <col min="1" max="1" width="14.8984375" style="1" customWidth="1"/>
    <col min="2" max="2" width="7.09765625" style="1" bestFit="1" customWidth="1"/>
    <col min="3" max="11" width="10.19921875" style="1" customWidth="1"/>
    <col min="12" max="13" width="16.3984375" style="1" bestFit="1" customWidth="1"/>
    <col min="14" max="14" width="17.5" style="1" bestFit="1" customWidth="1"/>
    <col min="15" max="17" width="20.59765625" style="1" customWidth="1"/>
    <col min="18" max="18" width="11" style="1" bestFit="1" customWidth="1"/>
    <col min="19" max="19" width="47.296875" style="1" customWidth="1"/>
    <col min="20" max="21" width="7.3984375" style="1" bestFit="1" customWidth="1"/>
    <col min="22" max="16384" width="10.8984375" style="1"/>
  </cols>
  <sheetData>
    <row r="1" spans="1:19" ht="21" x14ac:dyDescent="0.3">
      <c r="A1" s="20" t="s">
        <v>129</v>
      </c>
      <c r="B1" s="3"/>
      <c r="C1" s="9"/>
      <c r="D1" s="9"/>
      <c r="E1" s="9"/>
      <c r="F1" s="9"/>
      <c r="G1" s="9"/>
      <c r="H1" s="9"/>
      <c r="I1" s="9"/>
      <c r="J1" s="9"/>
    </row>
    <row r="3" spans="1:19" ht="112.2" customHeight="1" x14ac:dyDescent="0.3">
      <c r="A3" s="15" t="s">
        <v>33</v>
      </c>
      <c r="B3" s="16" t="s">
        <v>30</v>
      </c>
      <c r="C3" s="16" t="str">
        <f>'Team and Self Assessment'!C10</f>
        <v>1230462 Diogo Veiros</v>
      </c>
      <c r="D3" s="16" t="str">
        <f>'Team and Self Assessment'!C11</f>
        <v>1230948 Diogo Pereira</v>
      </c>
      <c r="E3" s="16" t="str">
        <f>'Team and Self Assessment'!C12</f>
        <v>1230917 Tiago Sampaio</v>
      </c>
      <c r="F3" s="16" t="str">
        <f>'Team and Self Assessment'!C13</f>
        <v>1211846 Vicente Sousa</v>
      </c>
      <c r="G3" s="16" t="str">
        <f>'Team and Self Assessment'!C14</f>
        <v>Student 5 No. + 1st name+last name</v>
      </c>
      <c r="H3" s="16" t="str">
        <f>'Team and Self Assessment'!C15</f>
        <v>Student 6 No. + 1st name+last name</v>
      </c>
      <c r="I3" s="16" t="str">
        <f>'Team and Self Assessment'!C16</f>
        <v>Student 7 No. + 1st name+last name</v>
      </c>
      <c r="J3" s="16" t="str">
        <f>'Team and Self Assessment'!C17</f>
        <v>Student 8 No. + 1st name+last name</v>
      </c>
      <c r="K3" s="16" t="s">
        <v>4</v>
      </c>
      <c r="L3" s="42">
        <f>0</f>
        <v>0</v>
      </c>
      <c r="M3" s="43">
        <f>1</f>
        <v>1</v>
      </c>
      <c r="N3" s="43">
        <f>2</f>
        <v>2</v>
      </c>
      <c r="O3" s="42">
        <f>3</f>
        <v>3</v>
      </c>
      <c r="P3" s="42">
        <f>4</f>
        <v>4</v>
      </c>
      <c r="Q3" s="42">
        <f>5</f>
        <v>5</v>
      </c>
      <c r="R3" s="17" t="s">
        <v>34</v>
      </c>
      <c r="S3" s="8" t="s">
        <v>16</v>
      </c>
    </row>
    <row r="4" spans="1:19" ht="144.75" customHeight="1" x14ac:dyDescent="0.3">
      <c r="A4" s="10" t="s">
        <v>119</v>
      </c>
      <c r="B4" s="13">
        <v>0.1</v>
      </c>
      <c r="C4" s="21">
        <v>5</v>
      </c>
      <c r="D4" s="21">
        <v>5</v>
      </c>
      <c r="E4" s="21">
        <v>4</v>
      </c>
      <c r="F4" s="21">
        <v>4</v>
      </c>
      <c r="G4" s="21"/>
      <c r="H4" s="21"/>
      <c r="I4" s="21"/>
      <c r="J4" s="21"/>
      <c r="K4" s="40">
        <f t="shared" ref="K4:K14" si="0">AVERAGE(C4:J4)</f>
        <v>4.5</v>
      </c>
      <c r="L4" s="44" t="s">
        <v>61</v>
      </c>
      <c r="M4" s="44" t="s">
        <v>62</v>
      </c>
      <c r="N4" s="44" t="s">
        <v>63</v>
      </c>
      <c r="O4" s="44" t="s">
        <v>64</v>
      </c>
      <c r="P4" s="44" t="s">
        <v>65</v>
      </c>
      <c r="Q4" s="44" t="s">
        <v>66</v>
      </c>
      <c r="R4" s="41"/>
      <c r="S4" s="11"/>
    </row>
    <row r="5" spans="1:19" ht="101.25" customHeight="1" x14ac:dyDescent="0.3">
      <c r="A5" s="10" t="s">
        <v>67</v>
      </c>
      <c r="B5" s="13">
        <v>0.1</v>
      </c>
      <c r="C5" s="21">
        <v>2</v>
      </c>
      <c r="D5" s="21">
        <v>2</v>
      </c>
      <c r="E5" s="21">
        <v>1</v>
      </c>
      <c r="F5" s="21">
        <v>1</v>
      </c>
      <c r="G5" s="21"/>
      <c r="H5" s="21"/>
      <c r="I5" s="21"/>
      <c r="J5" s="21"/>
      <c r="K5" s="40">
        <f t="shared" si="0"/>
        <v>1.5</v>
      </c>
      <c r="L5" s="44" t="s">
        <v>68</v>
      </c>
      <c r="M5" s="44" t="s">
        <v>69</v>
      </c>
      <c r="N5" s="44" t="s">
        <v>70</v>
      </c>
      <c r="O5" s="44" t="s">
        <v>71</v>
      </c>
      <c r="P5" s="44" t="s">
        <v>72</v>
      </c>
      <c r="Q5" s="44" t="s">
        <v>73</v>
      </c>
      <c r="R5" s="41"/>
      <c r="S5" s="11"/>
    </row>
    <row r="6" spans="1:19" ht="46.8" x14ac:dyDescent="0.3">
      <c r="A6" s="10" t="s">
        <v>74</v>
      </c>
      <c r="B6" s="13">
        <v>0.05</v>
      </c>
      <c r="C6" s="21">
        <v>5</v>
      </c>
      <c r="D6" s="21">
        <v>5</v>
      </c>
      <c r="E6" s="21">
        <v>4</v>
      </c>
      <c r="F6" s="21">
        <v>4</v>
      </c>
      <c r="G6" s="21"/>
      <c r="H6" s="21"/>
      <c r="I6" s="21"/>
      <c r="J6" s="21"/>
      <c r="K6" s="40">
        <f t="shared" si="0"/>
        <v>4.5</v>
      </c>
      <c r="L6" s="44" t="s">
        <v>75</v>
      </c>
      <c r="M6" s="44" t="s">
        <v>76</v>
      </c>
      <c r="N6" s="44" t="s">
        <v>77</v>
      </c>
      <c r="O6" s="44" t="s">
        <v>78</v>
      </c>
      <c r="P6" s="44" t="s">
        <v>79</v>
      </c>
      <c r="Q6" s="44" t="s">
        <v>80</v>
      </c>
      <c r="R6" s="41"/>
      <c r="S6" s="11"/>
    </row>
    <row r="7" spans="1:19" ht="46.8" x14ac:dyDescent="0.3">
      <c r="A7" s="10" t="s">
        <v>81</v>
      </c>
      <c r="B7" s="13">
        <v>0.05</v>
      </c>
      <c r="C7" s="21">
        <v>5</v>
      </c>
      <c r="D7" s="21">
        <v>5</v>
      </c>
      <c r="E7" s="21">
        <v>4</v>
      </c>
      <c r="F7" s="21">
        <v>4</v>
      </c>
      <c r="G7" s="21"/>
      <c r="H7" s="21"/>
      <c r="I7" s="21"/>
      <c r="J7" s="21"/>
      <c r="K7" s="40">
        <f t="shared" si="0"/>
        <v>4.5</v>
      </c>
      <c r="L7" s="44" t="s">
        <v>75</v>
      </c>
      <c r="M7" s="44" t="s">
        <v>82</v>
      </c>
      <c r="N7" s="44" t="s">
        <v>83</v>
      </c>
      <c r="O7" s="44" t="s">
        <v>84</v>
      </c>
      <c r="P7" s="44" t="s">
        <v>85</v>
      </c>
      <c r="Q7" s="44" t="s">
        <v>86</v>
      </c>
      <c r="R7" s="41"/>
      <c r="S7" s="11"/>
    </row>
    <row r="8" spans="1:19" ht="62.4" x14ac:dyDescent="0.3">
      <c r="A8" s="10" t="s">
        <v>120</v>
      </c>
      <c r="B8" s="13">
        <v>0.1</v>
      </c>
      <c r="C8" s="21">
        <v>5</v>
      </c>
      <c r="D8" s="21">
        <v>5</v>
      </c>
      <c r="E8" s="21">
        <v>4</v>
      </c>
      <c r="F8" s="21">
        <v>2</v>
      </c>
      <c r="G8" s="21"/>
      <c r="H8" s="21"/>
      <c r="I8" s="21"/>
      <c r="J8" s="21"/>
      <c r="K8" s="40">
        <f t="shared" si="0"/>
        <v>4</v>
      </c>
      <c r="L8" s="44" t="s">
        <v>75</v>
      </c>
      <c r="M8" s="44" t="s">
        <v>87</v>
      </c>
      <c r="N8" s="44" t="s">
        <v>88</v>
      </c>
      <c r="O8" s="44" t="s">
        <v>89</v>
      </c>
      <c r="P8" s="44" t="s">
        <v>90</v>
      </c>
      <c r="Q8" s="44" t="s">
        <v>91</v>
      </c>
      <c r="R8" s="41"/>
      <c r="S8" s="11"/>
    </row>
    <row r="9" spans="1:19" ht="62.4" x14ac:dyDescent="0.3">
      <c r="A9" s="10" t="s">
        <v>92</v>
      </c>
      <c r="B9" s="13">
        <v>0.05</v>
      </c>
      <c r="C9" s="21">
        <v>3</v>
      </c>
      <c r="D9" s="21">
        <v>3</v>
      </c>
      <c r="E9" s="21">
        <v>3</v>
      </c>
      <c r="F9" s="21">
        <v>3</v>
      </c>
      <c r="G9" s="21"/>
      <c r="H9" s="21"/>
      <c r="I9" s="21"/>
      <c r="J9" s="21"/>
      <c r="K9" s="40">
        <f t="shared" si="0"/>
        <v>3</v>
      </c>
      <c r="L9" s="44" t="s">
        <v>93</v>
      </c>
      <c r="M9" s="44" t="s">
        <v>94</v>
      </c>
      <c r="N9" s="44"/>
      <c r="O9" s="44" t="s">
        <v>95</v>
      </c>
      <c r="P9" s="44"/>
      <c r="Q9" s="44" t="s">
        <v>96</v>
      </c>
      <c r="R9" s="41"/>
      <c r="S9" s="11"/>
    </row>
    <row r="10" spans="1:19" ht="93.6" x14ac:dyDescent="0.3">
      <c r="A10" s="10" t="s">
        <v>97</v>
      </c>
      <c r="B10" s="13">
        <v>0.1</v>
      </c>
      <c r="C10" s="21">
        <v>4</v>
      </c>
      <c r="D10" s="21">
        <v>4</v>
      </c>
      <c r="E10" s="21">
        <v>4</v>
      </c>
      <c r="F10" s="21">
        <v>4</v>
      </c>
      <c r="G10" s="21"/>
      <c r="H10" s="21"/>
      <c r="I10" s="21"/>
      <c r="J10" s="21"/>
      <c r="K10" s="40">
        <f t="shared" si="0"/>
        <v>4</v>
      </c>
      <c r="L10" s="44" t="s">
        <v>93</v>
      </c>
      <c r="M10" s="44" t="s">
        <v>98</v>
      </c>
      <c r="N10" s="44" t="s">
        <v>99</v>
      </c>
      <c r="O10" s="44" t="s">
        <v>100</v>
      </c>
      <c r="P10" s="44" t="s">
        <v>101</v>
      </c>
      <c r="Q10" s="44" t="s">
        <v>102</v>
      </c>
      <c r="R10" s="41"/>
      <c r="S10" s="11"/>
    </row>
    <row r="11" spans="1:19" ht="46.8" x14ac:dyDescent="0.3">
      <c r="A11" s="10" t="s">
        <v>121</v>
      </c>
      <c r="B11" s="13">
        <v>0.1</v>
      </c>
      <c r="C11" s="21">
        <v>4</v>
      </c>
      <c r="D11" s="21">
        <v>4</v>
      </c>
      <c r="E11" s="21">
        <v>4</v>
      </c>
      <c r="F11" s="21">
        <v>4</v>
      </c>
      <c r="G11" s="21"/>
      <c r="H11" s="21"/>
      <c r="I11" s="21"/>
      <c r="J11" s="21"/>
      <c r="K11" s="40">
        <f t="shared" si="0"/>
        <v>4</v>
      </c>
      <c r="L11" s="44" t="s">
        <v>93</v>
      </c>
      <c r="M11" s="44" t="s">
        <v>103</v>
      </c>
      <c r="N11" s="44" t="s">
        <v>104</v>
      </c>
      <c r="O11" s="44" t="s">
        <v>105</v>
      </c>
      <c r="P11" s="44" t="s">
        <v>106</v>
      </c>
      <c r="Q11" s="44" t="s">
        <v>107</v>
      </c>
      <c r="R11" s="41"/>
      <c r="S11" s="11"/>
    </row>
    <row r="12" spans="1:19" ht="31.2" x14ac:dyDescent="0.3">
      <c r="A12" s="10" t="s">
        <v>108</v>
      </c>
      <c r="B12" s="13">
        <v>0.1</v>
      </c>
      <c r="C12" s="21">
        <v>4</v>
      </c>
      <c r="D12" s="21">
        <v>4</v>
      </c>
      <c r="E12" s="21">
        <v>4</v>
      </c>
      <c r="F12" s="21">
        <v>4</v>
      </c>
      <c r="G12" s="21"/>
      <c r="H12" s="21"/>
      <c r="I12" s="21"/>
      <c r="J12" s="21"/>
      <c r="K12" s="40">
        <f t="shared" si="0"/>
        <v>4</v>
      </c>
      <c r="L12" s="44" t="s">
        <v>93</v>
      </c>
      <c r="M12" s="44" t="s">
        <v>103</v>
      </c>
      <c r="N12" s="44" t="s">
        <v>104</v>
      </c>
      <c r="O12" s="44" t="s">
        <v>105</v>
      </c>
      <c r="P12" s="44" t="s">
        <v>106</v>
      </c>
      <c r="Q12" s="44" t="s">
        <v>107</v>
      </c>
      <c r="R12" s="41"/>
      <c r="S12" s="11"/>
    </row>
    <row r="13" spans="1:19" ht="46.8" x14ac:dyDescent="0.3">
      <c r="A13" s="10" t="s">
        <v>109</v>
      </c>
      <c r="B13" s="13">
        <v>0.1</v>
      </c>
      <c r="C13" s="21">
        <v>5</v>
      </c>
      <c r="D13" s="21">
        <v>5</v>
      </c>
      <c r="E13" s="21">
        <v>4</v>
      </c>
      <c r="F13" s="21">
        <v>4</v>
      </c>
      <c r="G13" s="21"/>
      <c r="H13" s="21"/>
      <c r="I13" s="21"/>
      <c r="J13" s="21"/>
      <c r="K13" s="40">
        <f t="shared" si="0"/>
        <v>4.5</v>
      </c>
      <c r="L13" s="44" t="s">
        <v>110</v>
      </c>
      <c r="M13" s="44" t="s">
        <v>111</v>
      </c>
      <c r="N13" s="44" t="s">
        <v>112</v>
      </c>
      <c r="O13" s="44" t="s">
        <v>113</v>
      </c>
      <c r="P13" s="44" t="s">
        <v>114</v>
      </c>
      <c r="Q13" s="44" t="s">
        <v>115</v>
      </c>
      <c r="R13" s="41"/>
      <c r="S13" s="11"/>
    </row>
    <row r="14" spans="1:19" ht="31.2" x14ac:dyDescent="0.3">
      <c r="A14" s="10" t="s">
        <v>116</v>
      </c>
      <c r="B14" s="13">
        <v>0.15</v>
      </c>
      <c r="C14" s="21">
        <v>4</v>
      </c>
      <c r="D14" s="21">
        <v>4</v>
      </c>
      <c r="E14" s="21">
        <v>4</v>
      </c>
      <c r="F14" s="21">
        <v>4</v>
      </c>
      <c r="G14" s="21"/>
      <c r="H14" s="21"/>
      <c r="I14" s="21"/>
      <c r="J14" s="21"/>
      <c r="K14" s="40">
        <f t="shared" si="0"/>
        <v>4</v>
      </c>
      <c r="L14" s="44" t="s">
        <v>93</v>
      </c>
      <c r="M14" s="44" t="s">
        <v>103</v>
      </c>
      <c r="N14" s="44" t="s">
        <v>104</v>
      </c>
      <c r="O14" s="44" t="s">
        <v>105</v>
      </c>
      <c r="P14" s="44" t="s">
        <v>106</v>
      </c>
      <c r="Q14" s="44" t="s">
        <v>107</v>
      </c>
      <c r="R14" s="41"/>
      <c r="S14" s="11"/>
    </row>
    <row r="15" spans="1:19" x14ac:dyDescent="0.3">
      <c r="A15" s="10" t="s">
        <v>31</v>
      </c>
      <c r="B15" s="14">
        <f>SUM(B4:B14)</f>
        <v>1</v>
      </c>
      <c r="C15" s="5">
        <f>SUMPRODUCT(C4:C14,$B$4:$B$14)</f>
        <v>4.1499999999999995</v>
      </c>
      <c r="D15" s="5">
        <f t="shared" ref="D15:J15" si="1">SUMPRODUCT(D4:D14,$B$4:$B$14)</f>
        <v>4.1499999999999995</v>
      </c>
      <c r="E15" s="5">
        <f t="shared" si="1"/>
        <v>3.6499999999999995</v>
      </c>
      <c r="F15" s="5">
        <f t="shared" si="1"/>
        <v>3.4499999999999997</v>
      </c>
      <c r="G15" s="5">
        <f t="shared" si="1"/>
        <v>0</v>
      </c>
      <c r="H15" s="5">
        <f t="shared" si="1"/>
        <v>0</v>
      </c>
      <c r="I15" s="5">
        <f t="shared" si="1"/>
        <v>0</v>
      </c>
      <c r="J15" s="5">
        <f t="shared" si="1"/>
        <v>0</v>
      </c>
      <c r="K15" s="22"/>
      <c r="L15" s="27"/>
      <c r="M15" s="27"/>
      <c r="N15" s="27"/>
      <c r="O15" s="27"/>
      <c r="P15" s="27"/>
      <c r="Q15" s="27"/>
      <c r="R15" s="5"/>
      <c r="S15" s="11"/>
    </row>
    <row r="16" spans="1:19" ht="16.2" thickBot="1" x14ac:dyDescent="0.35">
      <c r="A16" s="18" t="s">
        <v>60</v>
      </c>
      <c r="B16" s="19"/>
      <c r="C16" s="19">
        <f>C15/5*20</f>
        <v>16.599999999999998</v>
      </c>
      <c r="D16" s="19">
        <f t="shared" ref="D16:J16" si="2">D15/5*20</f>
        <v>16.599999999999998</v>
      </c>
      <c r="E16" s="19">
        <f t="shared" si="2"/>
        <v>14.599999999999998</v>
      </c>
      <c r="F16" s="19">
        <f t="shared" si="2"/>
        <v>13.799999999999999</v>
      </c>
      <c r="G16" s="19">
        <f t="shared" si="2"/>
        <v>0</v>
      </c>
      <c r="H16" s="19">
        <f t="shared" si="2"/>
        <v>0</v>
      </c>
      <c r="I16" s="19">
        <f t="shared" si="2"/>
        <v>0</v>
      </c>
      <c r="J16" s="19">
        <f t="shared" si="2"/>
        <v>0</v>
      </c>
      <c r="K16" s="23"/>
      <c r="L16" s="19"/>
      <c r="M16" s="19"/>
      <c r="N16" s="19"/>
      <c r="O16" s="19"/>
      <c r="P16" s="19"/>
      <c r="Q16" s="19"/>
      <c r="R16" s="19"/>
      <c r="S16" s="12"/>
    </row>
    <row r="17" spans="1:1" x14ac:dyDescent="0.3">
      <c r="A17" s="3"/>
    </row>
  </sheetData>
  <dataValidations count="1">
    <dataValidation type="list" allowBlank="1" showInputMessage="1" showErrorMessage="1" sqref="C4:J14" xr:uid="{00000000-0002-0000-0300-000000000000}">
      <formula1>$L$3:$Q$3</formula1>
    </dataValidation>
  </dataValidations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68C8461FEB204EB91068C06B7C001B" ma:contentTypeVersion="4" ma:contentTypeDescription="Create a new document." ma:contentTypeScope="" ma:versionID="7ddc5fcdc3832dcd8064c9a9fff3da39">
  <xsd:schema xmlns:xsd="http://www.w3.org/2001/XMLSchema" xmlns:xs="http://www.w3.org/2001/XMLSchema" xmlns:p="http://schemas.microsoft.com/office/2006/metadata/properties" xmlns:ns2="0d829d19-a20c-4e5a-aa0c-328105ee23df" targetNamespace="http://schemas.microsoft.com/office/2006/metadata/properties" ma:root="true" ma:fieldsID="287fd88bfc28c47984627594b174b25e" ns2:_="">
    <xsd:import namespace="0d829d19-a20c-4e5a-aa0c-328105ee23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829d19-a20c-4e5a-aa0c-328105ee23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13631EA-B8EF-401A-AD36-BB0919E880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829d19-a20c-4e5a-aa0c-328105ee23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1419B8-A98A-41CD-95EE-48A4F975B8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D8D82CB-2E6F-4A14-B6B4-DFDD1BBD70FC}">
  <ds:schemaRefs>
    <ds:schemaRef ds:uri="http://purl.org/dc/elements/1.1/"/>
    <ds:schemaRef ds:uri="0d829d19-a20c-4e5a-aa0c-328105ee23df"/>
    <ds:schemaRef ds:uri="http://schemas.microsoft.com/office/infopath/2007/PartnerControls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Team and Self Assessment</vt:lpstr>
      <vt:lpstr>User Stories</vt:lpstr>
      <vt:lpstr>Project Development</vt:lpstr>
      <vt:lpstr>Project Management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Diogo Filipe Marques Veiros</cp:lastModifiedBy>
  <cp:revision/>
  <dcterms:created xsi:type="dcterms:W3CDTF">2021-10-23T17:18:59Z</dcterms:created>
  <dcterms:modified xsi:type="dcterms:W3CDTF">2024-10-27T16:21:39Z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0x010100F168C8461FEB204EB91068C06B7C001B</vt:lpwstr>
  </property>
</Properties>
</file>