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isepipp.sharepoint.com/teams/ByteMastersSecondComing-ISEP365Group-LAPR3/Shared Documents/LAPR3/SPRINT 3/"/>
    </mc:Choice>
  </mc:AlternateContent>
  <xr:revisionPtr revIDLastSave="432" documentId="13_ncr:1_{802A170C-3CC1-4949-837B-425EC5D8B4FC}" xr6:coauthVersionLast="47" xr6:coauthVersionMax="47" xr10:uidLastSave="{65C86E7C-F44B-4A9C-81CB-E7771F3BC6CA}"/>
  <bookViews>
    <workbookView xWindow="-108" yWindow="-108" windowWidth="23256" windowHeight="12456" activeTab="2" xr2:uid="{00000000-000D-0000-FFFF-FFFF00000000}"/>
  </bookViews>
  <sheets>
    <sheet name="Team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2" l="1"/>
  <c r="K18" i="2"/>
  <c r="J15" i="10"/>
  <c r="I15" i="10"/>
  <c r="H15" i="10"/>
  <c r="G15" i="10"/>
  <c r="F15" i="10"/>
  <c r="E15" i="10"/>
  <c r="D15" i="10"/>
  <c r="C15" i="10"/>
  <c r="B15" i="10" l="1"/>
  <c r="K14" i="10"/>
  <c r="K13" i="10"/>
  <c r="K11" i="10"/>
  <c r="K10" i="10"/>
  <c r="K9" i="10"/>
  <c r="K7" i="10"/>
  <c r="K6" i="10"/>
  <c r="K5" i="10"/>
  <c r="K4" i="10"/>
  <c r="K12" i="10"/>
  <c r="K8" i="10"/>
  <c r="J16" i="10"/>
  <c r="I16" i="10"/>
  <c r="H16" i="10"/>
  <c r="G16" i="10"/>
  <c r="F16" i="10"/>
  <c r="E16" i="10"/>
  <c r="D16" i="10"/>
  <c r="C16" i="10"/>
  <c r="Q3" i="10"/>
  <c r="P3" i="10"/>
  <c r="O3" i="10"/>
  <c r="N3" i="10"/>
  <c r="M3" i="10"/>
  <c r="L3" i="10"/>
  <c r="J3" i="10"/>
  <c r="I3" i="10"/>
  <c r="H3" i="10"/>
  <c r="G3" i="10"/>
  <c r="F3" i="10"/>
  <c r="E3" i="10"/>
  <c r="D3" i="10"/>
  <c r="C3" i="10"/>
  <c r="L11" i="2"/>
  <c r="L12" i="2"/>
  <c r="L13" i="2"/>
  <c r="L14" i="2"/>
  <c r="L15" i="2"/>
  <c r="L16" i="2"/>
  <c r="L17" i="2"/>
  <c r="K4" i="1"/>
  <c r="K5" i="1"/>
  <c r="K6" i="1"/>
  <c r="K7" i="1"/>
  <c r="Q3" i="1"/>
  <c r="P3" i="1"/>
  <c r="O3" i="1"/>
  <c r="N3" i="1"/>
  <c r="M3" i="1"/>
  <c r="L3" i="1"/>
  <c r="B8" i="1"/>
  <c r="J3" i="1"/>
  <c r="I3" i="1"/>
  <c r="H3" i="1"/>
  <c r="G3" i="1"/>
  <c r="F3" i="1"/>
  <c r="E3" i="1"/>
  <c r="D3" i="1"/>
  <c r="C3" i="1"/>
  <c r="L10" i="2"/>
  <c r="E18" i="2"/>
  <c r="F18" i="2"/>
  <c r="G18" i="2"/>
  <c r="H18" i="2"/>
  <c r="I18" i="2"/>
  <c r="J18" i="2"/>
  <c r="D18" i="2"/>
  <c r="J9" i="2"/>
  <c r="I9" i="2"/>
  <c r="H9" i="2"/>
  <c r="G9" i="2"/>
  <c r="F9" i="2"/>
  <c r="E9" i="2"/>
  <c r="D9" i="2"/>
  <c r="I8" i="1" l="1"/>
  <c r="I9" i="1" s="1"/>
  <c r="H8" i="1"/>
  <c r="H9" i="1" s="1"/>
  <c r="G8" i="1"/>
  <c r="G9" i="1" s="1"/>
  <c r="F9" i="1"/>
  <c r="E8" i="1"/>
  <c r="E9" i="1" s="1"/>
  <c r="J8" i="1"/>
  <c r="J9" i="1" s="1"/>
  <c r="D8" i="1"/>
  <c r="D9" i="1" s="1"/>
  <c r="C8" i="1" l="1"/>
  <c r="C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tc={6BAF2E2E-33D1-44DF-B745-43730409185A}</author>
  </authors>
  <commentList>
    <comment ref="A5" authorId="0" shapeId="0" xr:uid="{6BAF2E2E-33D1-44DF-B745-43730409185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Proposta: Documentation em vez de "Project Report &amp; Documentation"</t>
      </text>
    </comment>
  </commentList>
</comments>
</file>

<file path=xl/sharedStrings.xml><?xml version="1.0" encoding="utf-8"?>
<sst xmlns="http://schemas.openxmlformats.org/spreadsheetml/2006/main" count="429" uniqueCount="171">
  <si>
    <t>LAPR3 Project Team and Self-assessment v4.0</t>
  </si>
  <si>
    <t>Fill in the cells with a blue background</t>
  </si>
  <si>
    <t>TeamID #</t>
  </si>
  <si>
    <t>(e.g. 101)</t>
  </si>
  <si>
    <t>How do you grade yourself and your peers?</t>
  </si>
  <si>
    <t>READ the Instructions below the table!!!</t>
  </si>
  <si>
    <t>List B</t>
  </si>
  <si>
    <t>Average</t>
  </si>
  <si>
    <t>List A</t>
  </si>
  <si>
    <t>1230462 Diogo Veiros</t>
  </si>
  <si>
    <t>1230948 Diogo Pereira</t>
  </si>
  <si>
    <t>Self-assessment</t>
  </si>
  <si>
    <t>1230917 Tiago Sampaio</t>
  </si>
  <si>
    <t>1211846 Vicente Sousa</t>
  </si>
  <si>
    <t>1221911 Bruno Lourenço</t>
  </si>
  <si>
    <t>1220604 Rodrigo Correia</t>
  </si>
  <si>
    <t>Student 7 No. + 1st name+last name</t>
  </si>
  <si>
    <t>Student 8 No. + 1st name+last name</t>
  </si>
  <si>
    <t>Instructions for Students:</t>
  </si>
  <si>
    <t>Write your student numbers and name in Colum C from row 10 to 17 (according to the students in your team).</t>
  </si>
  <si>
    <t>Student from List A should assess the student on List B with a grade from 0 to 5.</t>
  </si>
  <si>
    <t>On the diagonal Students should fill their self-assessment (darker blue cells)</t>
  </si>
  <si>
    <t>0% - Unaceptable</t>
  </si>
  <si>
    <t>25% - Unsatisfactory</t>
  </si>
  <si>
    <r>
      <t xml:space="preserve">Students </t>
    </r>
    <r>
      <rPr>
        <b/>
        <sz val="12"/>
        <color rgb="FFFF0000"/>
        <rFont val="Calibri"/>
        <family val="2"/>
        <scheme val="minor"/>
      </rPr>
      <t>must</t>
    </r>
    <r>
      <rPr>
        <b/>
        <sz val="12"/>
        <color theme="1"/>
        <rFont val="Calibri"/>
        <family val="2"/>
        <scheme val="minor"/>
      </rPr>
      <t xml:space="preserve"> fill in the following sheets:</t>
    </r>
  </si>
  <si>
    <t>50% - Acceptable</t>
  </si>
  <si>
    <t xml:space="preserve"> - Team and Self-assessment</t>
  </si>
  <si>
    <t>75% - Good</t>
  </si>
  <si>
    <t xml:space="preserve"> - User Stories</t>
  </si>
  <si>
    <t>90% - Very Good</t>
  </si>
  <si>
    <t>100% - Excellent</t>
  </si>
  <si>
    <t>User Stories</t>
  </si>
  <si>
    <t>User Story ID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</si>
  <si>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</si>
  <si>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</si>
  <si>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</si>
  <si>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</si>
  <si>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</si>
  <si>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</si>
  <si>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</si>
  <si>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</si>
  <si>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</si>
  <si>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</si>
  <si>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</si>
  <si>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</si>
  <si>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</si>
  <si>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</si>
  <si>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</si>
  <si>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USBD20</t>
  </si>
  <si>
    <t>The students  have exceeded expectations </t>
  </si>
  <si>
    <t>USBD21</t>
  </si>
  <si>
    <t>USBD22</t>
  </si>
  <si>
    <t>USBD23</t>
  </si>
  <si>
    <t>USBD24</t>
  </si>
  <si>
    <t>USBD25</t>
  </si>
  <si>
    <t>USBD26</t>
  </si>
  <si>
    <t>USBD27</t>
  </si>
  <si>
    <t>USBD28</t>
  </si>
  <si>
    <t>USEI17</t>
  </si>
  <si>
    <t>USEI18</t>
  </si>
  <si>
    <t>USEI19</t>
  </si>
  <si>
    <t>USEI20</t>
  </si>
  <si>
    <t>USEI21</t>
  </si>
  <si>
    <t>USEI22</t>
  </si>
  <si>
    <t>USEI23</t>
  </si>
  <si>
    <t>USEI24</t>
  </si>
  <si>
    <t>USLP06</t>
  </si>
  <si>
    <t>USLP07</t>
  </si>
  <si>
    <t>USLP08</t>
  </si>
  <si>
    <t>USAC11</t>
  </si>
  <si>
    <t>USAC12</t>
  </si>
  <si>
    <t>USAC13</t>
  </si>
  <si>
    <t>USAC14</t>
  </si>
  <si>
    <t>USAC15</t>
  </si>
  <si>
    <t>USAC16</t>
  </si>
  <si>
    <t>USAC17</t>
  </si>
  <si>
    <t>USAC18</t>
  </si>
  <si>
    <t>USFA3</t>
  </si>
  <si>
    <t>Project Development Self-Assessment</t>
  </si>
  <si>
    <t>Rubric</t>
  </si>
  <si>
    <t>Weight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</si>
  <si>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</si>
  <si>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</si>
  <si>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</si>
  <si>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</si>
  <si>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</si>
  <si>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</si>
  <si>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</si>
  <si>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</si>
  <si>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</si>
  <si>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</si>
  <si>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</si>
  <si>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</si>
  <si>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</si>
  <si>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</si>
  <si>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</si>
  <si>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</si>
  <si>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</si>
  <si>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</si>
  <si>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</si>
  <si>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</si>
  <si>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</si>
  <si>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</si>
  <si>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</si>
  <si>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</si>
  <si>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</si>
  <si>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</si>
  <si>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</si>
  <si>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</t>
  </si>
  <si>
    <t>Total (0-20)</t>
  </si>
  <si>
    <t>Project Management Team Assessment</t>
  </si>
  <si>
    <t>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</si>
  <si>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</si>
  <si>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</si>
  <si>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</si>
  <si>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</si>
  <si>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</si>
  <si>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</si>
  <si>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</si>
  <si>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</si>
  <si>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</si>
  <si>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</si>
  <si>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</si>
  <si>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</si>
  <si>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</si>
  <si>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</si>
  <si>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</si>
  <si>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</si>
  <si>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</si>
  <si>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</si>
  <si>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</si>
  <si>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</si>
  <si>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</si>
  <si>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</si>
  <si>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</si>
  <si>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</si>
  <si>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</si>
  <si>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</si>
  <si>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Project-Board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</si>
  <si>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</si>
  <si>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</si>
  <si>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</si>
  <si>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</si>
  <si>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</si>
  <si>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</si>
  <si>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</si>
  <si>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</si>
  <si>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</si>
  <si>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</si>
  <si>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</si>
  <si>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</si>
  <si>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</si>
  <si>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</si>
  <si>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</si>
  <si>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</si>
  <si>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Insights registered on SPRINT Report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</si>
  <si>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</si>
  <si>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</si>
  <si>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</si>
  <si>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</si>
  <si>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</si>
  <si>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</si>
  <si>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</si>
  <si>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</si>
  <si>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</si>
  <si>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</si>
  <si>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</si>
  <si>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</si>
  <si>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</si>
  <si>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</si>
  <si>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Assigned to ALL and made by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</si>
</sst>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5" xfId="0" applyBorder="1"/>
    <xf numFmtId="2" fontId="0" fillId="0" borderId="4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2" fillId="4" borderId="28" xfId="0" applyFont="1" applyFill="1" applyBorder="1"/>
    <xf numFmtId="0" fontId="0" fillId="4" borderId="23" xfId="0" applyFill="1" applyBorder="1"/>
    <xf numFmtId="0" fontId="0" fillId="4" borderId="16" xfId="0" applyFill="1" applyBorder="1"/>
    <xf numFmtId="0" fontId="0" fillId="4" borderId="29" xfId="0" applyFill="1" applyBorder="1"/>
    <xf numFmtId="0" fontId="0" fillId="4" borderId="0" xfId="0" applyFill="1"/>
    <xf numFmtId="0" fontId="0" fillId="4" borderId="30" xfId="0" applyFill="1" applyBorder="1"/>
    <xf numFmtId="0" fontId="4" fillId="4" borderId="29" xfId="0" applyFont="1" applyFill="1" applyBorder="1"/>
    <xf numFmtId="0" fontId="0" fillId="4" borderId="3" xfId="0" applyFill="1" applyBorder="1"/>
    <xf numFmtId="0" fontId="0" fillId="4" borderId="31" xfId="0" applyFill="1" applyBorder="1"/>
    <xf numFmtId="0" fontId="0" fillId="4" borderId="32" xfId="0" applyFill="1" applyBorder="1"/>
    <xf numFmtId="0" fontId="2" fillId="4" borderId="29" xfId="0" applyFont="1" applyFill="1" applyBorder="1"/>
    <xf numFmtId="0" fontId="2" fillId="4" borderId="0" xfId="0" applyFont="1" applyFill="1"/>
    <xf numFmtId="0" fontId="7" fillId="0" borderId="6" xfId="0" applyFont="1" applyBorder="1" applyAlignment="1">
      <alignment horizontal="center" vertical="center" textRotation="65" wrapText="1"/>
    </xf>
    <xf numFmtId="0" fontId="7" fillId="0" borderId="13" xfId="0" applyFont="1" applyBorder="1" applyAlignment="1">
      <alignment horizontal="center" vertical="center" textRotation="65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agem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17</xdr:row>
      <xdr:rowOff>0</xdr:rowOff>
    </xdr:from>
    <xdr:to>
      <xdr:col>13</xdr:col>
      <xdr:colOff>401260</xdr:colOff>
      <xdr:row>17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na Barata" id="{9823C95B-394C-482A-AF78-619FD813BEBA}" userId="S::abt@isep.ipp.pt::5b353bcc-9c20-4dd6-9ceb-f15a7e5b3203" providerId="AD"/>
</personList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4-10-24T10:27:40.35" personId="{9823C95B-394C-482A-AF78-619FD813BEBA}" id="{6BAF2E2E-33D1-44DF-B745-43730409185A}">
    <text>Proposta: Documentation em vez de "Project Report &amp; Documentation"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"/>
  <sheetViews>
    <sheetView topLeftCell="A9" workbookViewId="0">
      <selection activeCell="H12" sqref="H12"/>
    </sheetView>
  </sheetViews>
  <sheetFormatPr defaultColWidth="11" defaultRowHeight="15.6" x14ac:dyDescent="0.3"/>
  <cols>
    <col min="2" max="2" width="9.09765625" customWidth="1"/>
    <col min="3" max="3" width="15.5" customWidth="1"/>
    <col min="4" max="12" width="7.8984375" customWidth="1"/>
    <col min="13" max="13" width="8" customWidth="1"/>
  </cols>
  <sheetData>
    <row r="1" spans="1:15" ht="21" x14ac:dyDescent="0.3">
      <c r="A1" s="20" t="s">
        <v>0</v>
      </c>
      <c r="B1" s="1"/>
      <c r="C1" s="1"/>
    </row>
    <row r="2" spans="1:15" x14ac:dyDescent="0.3">
      <c r="A2" s="29" t="s">
        <v>1</v>
      </c>
      <c r="B2" s="1"/>
      <c r="C2" s="1"/>
    </row>
    <row r="3" spans="1:15" x14ac:dyDescent="0.3">
      <c r="B3" s="1"/>
      <c r="C3" s="1"/>
    </row>
    <row r="4" spans="1:15" x14ac:dyDescent="0.3">
      <c r="A4" s="74" t="s">
        <v>2</v>
      </c>
      <c r="B4" s="4">
        <v>94</v>
      </c>
      <c r="C4" s="1" t="s">
        <v>3</v>
      </c>
    </row>
    <row r="6" spans="1:15" x14ac:dyDescent="0.3">
      <c r="A6" s="2" t="s">
        <v>4</v>
      </c>
      <c r="E6" s="2" t="s">
        <v>5</v>
      </c>
    </row>
    <row r="7" spans="1:15" ht="16.2" thickBot="1" x14ac:dyDescent="0.35"/>
    <row r="8" spans="1:15" ht="15.9" customHeight="1" thickBot="1" x14ac:dyDescent="0.35">
      <c r="B8" s="1"/>
      <c r="C8" s="1"/>
      <c r="E8" s="77" t="s">
        <v>6</v>
      </c>
      <c r="F8" s="78"/>
      <c r="G8" s="78"/>
      <c r="H8" s="78"/>
      <c r="I8" s="78"/>
      <c r="J8" s="78"/>
      <c r="K8" s="78"/>
      <c r="L8" s="78"/>
      <c r="M8" s="79"/>
    </row>
    <row r="9" spans="1:15" ht="105.9" customHeight="1" thickBot="1" x14ac:dyDescent="0.35">
      <c r="B9" s="1"/>
      <c r="C9" s="1"/>
      <c r="D9" s="31" t="str">
        <f>C10</f>
        <v>1230462 Diogo Veiros</v>
      </c>
      <c r="E9" s="32" t="str">
        <f>C11</f>
        <v>1230948 Diogo Pereira</v>
      </c>
      <c r="F9" s="32" t="str">
        <f>C12</f>
        <v>1230917 Tiago Sampaio</v>
      </c>
      <c r="G9" s="32" t="str">
        <f>C13</f>
        <v>1211846 Vicente Sousa</v>
      </c>
      <c r="H9" s="32" t="str">
        <f>C14</f>
        <v>1221911 Bruno Lourenço</v>
      </c>
      <c r="I9" s="32" t="str">
        <f>C15</f>
        <v>1220604 Rodrigo Correia</v>
      </c>
      <c r="J9" s="32" t="str">
        <f>C16</f>
        <v>Student 7 No. + 1st name+last name</v>
      </c>
      <c r="K9" s="32" t="str">
        <f>C17</f>
        <v>Student 8 No. + 1st name+last name</v>
      </c>
      <c r="L9" s="33" t="s">
        <v>7</v>
      </c>
    </row>
    <row r="10" spans="1:15" ht="31.2" x14ac:dyDescent="0.3">
      <c r="B10" s="75" t="s">
        <v>8</v>
      </c>
      <c r="C10" s="6" t="s">
        <v>9</v>
      </c>
      <c r="D10" s="30">
        <v>5</v>
      </c>
      <c r="E10" s="72">
        <v>5</v>
      </c>
      <c r="F10" s="70">
        <v>4</v>
      </c>
      <c r="G10" s="70">
        <v>4</v>
      </c>
      <c r="H10" s="70"/>
      <c r="I10" s="70"/>
      <c r="J10" s="70"/>
      <c r="K10" s="70"/>
      <c r="L10" s="36">
        <f t="shared" ref="L10:L17" si="0">AVERAGE(D10:K10)</f>
        <v>4.5</v>
      </c>
    </row>
    <row r="11" spans="1:15" ht="31.8" thickBot="1" x14ac:dyDescent="0.35">
      <c r="B11" s="76"/>
      <c r="C11" s="6" t="s">
        <v>10</v>
      </c>
      <c r="D11" s="69">
        <v>5</v>
      </c>
      <c r="E11" s="30">
        <v>5</v>
      </c>
      <c r="F11" s="71">
        <v>4</v>
      </c>
      <c r="G11" s="68">
        <v>4</v>
      </c>
      <c r="H11" s="68"/>
      <c r="I11" s="68"/>
      <c r="J11" s="68"/>
      <c r="K11" s="68"/>
      <c r="L11" s="37">
        <f t="shared" si="0"/>
        <v>4.5</v>
      </c>
      <c r="O11" s="73" t="s">
        <v>11</v>
      </c>
    </row>
    <row r="12" spans="1:15" ht="31.2" x14ac:dyDescent="0.3">
      <c r="B12" s="76"/>
      <c r="C12" s="6" t="s">
        <v>12</v>
      </c>
      <c r="D12" s="68">
        <v>4</v>
      </c>
      <c r="E12" s="69">
        <v>4</v>
      </c>
      <c r="F12" s="30">
        <v>4</v>
      </c>
      <c r="G12" s="71">
        <v>3</v>
      </c>
      <c r="H12" s="68"/>
      <c r="I12" s="68"/>
      <c r="J12" s="68"/>
      <c r="K12" s="68"/>
      <c r="L12" s="37">
        <f t="shared" si="0"/>
        <v>3.75</v>
      </c>
    </row>
    <row r="13" spans="1:15" ht="31.2" x14ac:dyDescent="0.3">
      <c r="B13" s="76"/>
      <c r="C13" s="6" t="s">
        <v>13</v>
      </c>
      <c r="D13" s="68">
        <v>5</v>
      </c>
      <c r="E13" s="68">
        <v>5</v>
      </c>
      <c r="F13" s="69">
        <v>5</v>
      </c>
      <c r="G13" s="30">
        <v>4</v>
      </c>
      <c r="H13" s="71"/>
      <c r="I13" s="68"/>
      <c r="J13" s="68"/>
      <c r="K13" s="68"/>
      <c r="L13" s="37">
        <f t="shared" si="0"/>
        <v>4.75</v>
      </c>
    </row>
    <row r="14" spans="1:15" ht="31.8" thickBot="1" x14ac:dyDescent="0.35">
      <c r="B14" s="76"/>
      <c r="C14" s="6" t="s">
        <v>14</v>
      </c>
      <c r="D14" s="68"/>
      <c r="E14" s="68"/>
      <c r="F14" s="68"/>
      <c r="G14" s="69"/>
      <c r="H14" s="30"/>
      <c r="I14" s="71"/>
      <c r="J14" s="68"/>
      <c r="K14" s="68"/>
      <c r="L14" s="37" t="e">
        <f t="shared" si="0"/>
        <v>#DIV/0!</v>
      </c>
    </row>
    <row r="15" spans="1:15" ht="31.8" thickBot="1" x14ac:dyDescent="0.35">
      <c r="B15" s="76"/>
      <c r="C15" s="6" t="s">
        <v>15</v>
      </c>
      <c r="D15" s="68"/>
      <c r="E15" s="68"/>
      <c r="F15" s="68"/>
      <c r="G15" s="68"/>
      <c r="H15" s="69"/>
      <c r="I15" s="30"/>
      <c r="J15" s="71"/>
      <c r="K15" s="68"/>
      <c r="L15" s="37" t="e">
        <f t="shared" si="0"/>
        <v>#DIV/0!</v>
      </c>
    </row>
    <row r="16" spans="1:15" ht="47.4" thickBot="1" x14ac:dyDescent="0.35">
      <c r="B16" s="76"/>
      <c r="C16" s="6" t="s">
        <v>16</v>
      </c>
      <c r="D16" s="68"/>
      <c r="E16" s="68"/>
      <c r="F16" s="68"/>
      <c r="G16" s="68"/>
      <c r="H16" s="68"/>
      <c r="I16" s="69"/>
      <c r="J16" s="30"/>
      <c r="K16" s="71"/>
      <c r="L16" s="37" t="e">
        <f t="shared" si="0"/>
        <v>#DIV/0!</v>
      </c>
    </row>
    <row r="17" spans="1:12" ht="47.4" thickBot="1" x14ac:dyDescent="0.35">
      <c r="B17" s="76"/>
      <c r="C17" s="6" t="s">
        <v>17</v>
      </c>
      <c r="D17" s="68"/>
      <c r="E17" s="68"/>
      <c r="F17" s="68"/>
      <c r="G17" s="68"/>
      <c r="H17" s="68"/>
      <c r="I17" s="68"/>
      <c r="J17" s="69"/>
      <c r="K17" s="30"/>
      <c r="L17" s="37" t="e">
        <f t="shared" si="0"/>
        <v>#DIV/0!</v>
      </c>
    </row>
    <row r="18" spans="1:12" ht="16.2" thickBot="1" x14ac:dyDescent="0.35">
      <c r="B18" s="1"/>
      <c r="C18" s="34" t="s">
        <v>7</v>
      </c>
      <c r="D18" s="35">
        <f t="shared" ref="D18:K18" si="1">AVERAGE(D10:D17)</f>
        <v>4.75</v>
      </c>
      <c r="E18" s="35">
        <f t="shared" si="1"/>
        <v>4.75</v>
      </c>
      <c r="F18" s="35">
        <f t="shared" si="1"/>
        <v>4.25</v>
      </c>
      <c r="G18" s="35">
        <f t="shared" si="1"/>
        <v>3.75</v>
      </c>
      <c r="H18" s="35" t="e">
        <f t="shared" si="1"/>
        <v>#DIV/0!</v>
      </c>
      <c r="I18" s="35" t="e">
        <f t="shared" si="1"/>
        <v>#DIV/0!</v>
      </c>
      <c r="J18" s="35" t="e">
        <f t="shared" si="1"/>
        <v>#DIV/0!</v>
      </c>
      <c r="K18" s="35" t="e">
        <f t="shared" si="1"/>
        <v>#DIV/0!</v>
      </c>
      <c r="L18" s="38"/>
    </row>
    <row r="20" spans="1:12" x14ac:dyDescent="0.3">
      <c r="A20" s="45" t="s">
        <v>18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x14ac:dyDescent="0.3">
      <c r="A21" s="55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ht="17.399999999999999" customHeight="1" x14ac:dyDescent="0.3">
      <c r="A22" s="48" t="s">
        <v>19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0"/>
    </row>
    <row r="23" spans="1:12" ht="17.399999999999999" customHeight="1" x14ac:dyDescent="0.3">
      <c r="A23" s="51" t="s">
        <v>20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50"/>
    </row>
    <row r="24" spans="1:12" ht="17.399999999999999" customHeight="1" x14ac:dyDescent="0.3">
      <c r="A24" s="48" t="s">
        <v>21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50"/>
    </row>
    <row r="25" spans="1:12" ht="17.399999999999999" customHeight="1" x14ac:dyDescent="0.3">
      <c r="A25" s="48">
        <v>0</v>
      </c>
      <c r="B25" s="49" t="s">
        <v>22</v>
      </c>
      <c r="C25" s="49"/>
      <c r="D25" s="49"/>
      <c r="E25" s="49"/>
      <c r="F25" s="49"/>
      <c r="G25" s="49"/>
      <c r="H25" s="49"/>
      <c r="I25" s="49"/>
      <c r="J25" s="49"/>
      <c r="K25" s="49"/>
      <c r="L25" s="50"/>
    </row>
    <row r="26" spans="1:12" ht="17.399999999999999" customHeight="1" x14ac:dyDescent="0.3">
      <c r="A26" s="48">
        <v>1</v>
      </c>
      <c r="B26" s="49" t="s">
        <v>23</v>
      </c>
      <c r="C26" s="49"/>
      <c r="D26" s="49"/>
      <c r="E26" s="49"/>
      <c r="F26" s="49"/>
      <c r="G26" s="56" t="s">
        <v>24</v>
      </c>
      <c r="H26" s="49"/>
      <c r="I26" s="49"/>
      <c r="J26" s="49"/>
      <c r="K26" s="49"/>
      <c r="L26" s="50"/>
    </row>
    <row r="27" spans="1:12" ht="17.399999999999999" customHeight="1" x14ac:dyDescent="0.3">
      <c r="A27" s="48">
        <v>2</v>
      </c>
      <c r="B27" s="49" t="s">
        <v>25</v>
      </c>
      <c r="C27" s="49"/>
      <c r="D27" s="49"/>
      <c r="E27" s="49"/>
      <c r="F27" s="49"/>
      <c r="G27" s="49" t="s">
        <v>26</v>
      </c>
      <c r="H27" s="49"/>
      <c r="I27" s="49"/>
      <c r="J27" s="49"/>
      <c r="K27" s="49"/>
      <c r="L27" s="50"/>
    </row>
    <row r="28" spans="1:12" ht="17.399999999999999" customHeight="1" x14ac:dyDescent="0.3">
      <c r="A28" s="48">
        <v>3</v>
      </c>
      <c r="B28" s="49" t="s">
        <v>27</v>
      </c>
      <c r="C28" s="49"/>
      <c r="D28" s="49"/>
      <c r="E28" s="49"/>
      <c r="F28" s="49"/>
      <c r="G28" s="49" t="s">
        <v>28</v>
      </c>
      <c r="H28" s="49"/>
      <c r="I28" s="49"/>
      <c r="J28" s="49"/>
      <c r="K28" s="49"/>
      <c r="L28" s="50"/>
    </row>
    <row r="29" spans="1:12" ht="17.399999999999999" customHeight="1" x14ac:dyDescent="0.3">
      <c r="A29" s="48">
        <v>4</v>
      </c>
      <c r="B29" s="49" t="s">
        <v>29</v>
      </c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ht="17.399999999999999" customHeight="1" x14ac:dyDescent="0.3">
      <c r="A30" s="52">
        <v>5</v>
      </c>
      <c r="B30" s="53" t="s">
        <v>30</v>
      </c>
      <c r="C30" s="53"/>
      <c r="D30" s="53"/>
      <c r="E30" s="53"/>
      <c r="F30" s="53"/>
      <c r="G30" s="53"/>
      <c r="H30" s="53"/>
      <c r="I30" s="53"/>
      <c r="J30" s="53"/>
      <c r="K30" s="53"/>
      <c r="L30" s="54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$A$25:$A$30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7"/>
  <sheetViews>
    <sheetView topLeftCell="A29" workbookViewId="0">
      <selection activeCell="D34" sqref="D34"/>
    </sheetView>
  </sheetViews>
  <sheetFormatPr defaultColWidth="20.09765625" defaultRowHeight="15.6" x14ac:dyDescent="0.3"/>
  <cols>
    <col min="1" max="1" width="11.09765625" bestFit="1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25" t="s">
        <v>31</v>
      </c>
    </row>
    <row r="2" spans="1:10" ht="16.2" thickBot="1" x14ac:dyDescent="0.35"/>
    <row r="3" spans="1:10" x14ac:dyDescent="0.3">
      <c r="A3" s="75" t="s">
        <v>32</v>
      </c>
      <c r="B3" s="82" t="s">
        <v>33</v>
      </c>
      <c r="C3" s="82" t="s">
        <v>34</v>
      </c>
      <c r="D3" s="80" t="s">
        <v>35</v>
      </c>
      <c r="E3" s="7">
        <v>0</v>
      </c>
      <c r="F3" s="17">
        <v>1</v>
      </c>
      <c r="G3" s="17">
        <v>2</v>
      </c>
      <c r="H3" s="17">
        <v>3</v>
      </c>
      <c r="I3" s="17">
        <v>4</v>
      </c>
      <c r="J3" s="8">
        <v>5</v>
      </c>
    </row>
    <row r="4" spans="1:10" ht="31.2" x14ac:dyDescent="0.3">
      <c r="A4" s="76"/>
      <c r="B4" s="83"/>
      <c r="C4" s="83"/>
      <c r="D4" s="81"/>
      <c r="E4" s="10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11" t="s">
        <v>41</v>
      </c>
    </row>
    <row r="5" spans="1:10" ht="47.4" thickBot="1" x14ac:dyDescent="0.35">
      <c r="A5" s="76"/>
      <c r="B5" s="83"/>
      <c r="C5" s="83"/>
      <c r="D5" s="81"/>
      <c r="E5" s="18" t="s">
        <v>42</v>
      </c>
      <c r="F5" s="19" t="s">
        <v>43</v>
      </c>
      <c r="G5" s="19" t="s">
        <v>44</v>
      </c>
      <c r="H5" s="19" t="s">
        <v>45</v>
      </c>
      <c r="I5" s="19" t="s">
        <v>46</v>
      </c>
      <c r="J5" s="12" t="s">
        <v>47</v>
      </c>
    </row>
    <row r="6" spans="1:10" ht="46.8" x14ac:dyDescent="0.3">
      <c r="A6" t="s">
        <v>48</v>
      </c>
      <c r="B6" s="24" t="s">
        <v>9</v>
      </c>
      <c r="C6" s="24">
        <v>4</v>
      </c>
      <c r="D6" s="44" t="s">
        <v>170</v>
      </c>
      <c r="E6" s="26" t="s">
        <v>42</v>
      </c>
      <c r="F6" s="27" t="s">
        <v>43</v>
      </c>
      <c r="G6" s="27" t="s">
        <v>44</v>
      </c>
      <c r="H6" s="27" t="s">
        <v>45</v>
      </c>
      <c r="I6" s="27" t="s">
        <v>46</v>
      </c>
      <c r="J6" s="28" t="s">
        <v>49</v>
      </c>
    </row>
    <row r="7" spans="1:10" ht="46.8" x14ac:dyDescent="0.3">
      <c r="A7" t="s">
        <v>50</v>
      </c>
      <c r="B7" s="24" t="s">
        <v>9</v>
      </c>
      <c r="C7" s="24">
        <v>4</v>
      </c>
      <c r="D7" s="44" t="s">
        <v>170</v>
      </c>
      <c r="E7" s="10" t="s">
        <v>42</v>
      </c>
      <c r="F7" s="5" t="s">
        <v>43</v>
      </c>
      <c r="G7" s="5" t="s">
        <v>44</v>
      </c>
      <c r="H7" s="5" t="s">
        <v>45</v>
      </c>
      <c r="I7" s="5" t="s">
        <v>46</v>
      </c>
      <c r="J7" s="28" t="s">
        <v>49</v>
      </c>
    </row>
    <row r="8" spans="1:10" ht="46.8" x14ac:dyDescent="0.3">
      <c r="A8" t="s">
        <v>51</v>
      </c>
      <c r="B8" s="24" t="s">
        <v>9</v>
      </c>
      <c r="C8" s="24">
        <v>4</v>
      </c>
      <c r="D8" s="44" t="s">
        <v>170</v>
      </c>
      <c r="E8" s="10" t="s">
        <v>42</v>
      </c>
      <c r="F8" s="5" t="s">
        <v>43</v>
      </c>
      <c r="G8" s="5" t="s">
        <v>44</v>
      </c>
      <c r="H8" s="5" t="s">
        <v>45</v>
      </c>
      <c r="I8" s="5" t="s">
        <v>46</v>
      </c>
      <c r="J8" s="28" t="s">
        <v>49</v>
      </c>
    </row>
    <row r="9" spans="1:10" ht="46.8" x14ac:dyDescent="0.3">
      <c r="A9" t="s">
        <v>52</v>
      </c>
      <c r="B9" s="24" t="s">
        <v>9</v>
      </c>
      <c r="C9" s="24">
        <v>4</v>
      </c>
      <c r="D9" s="44" t="s">
        <v>170</v>
      </c>
      <c r="E9" s="10" t="s">
        <v>42</v>
      </c>
      <c r="F9" s="5" t="s">
        <v>43</v>
      </c>
      <c r="G9" s="5" t="s">
        <v>44</v>
      </c>
      <c r="H9" s="5" t="s">
        <v>45</v>
      </c>
      <c r="I9" s="5" t="s">
        <v>46</v>
      </c>
      <c r="J9" s="28" t="s">
        <v>49</v>
      </c>
    </row>
    <row r="10" spans="1:10" ht="46.8" x14ac:dyDescent="0.3">
      <c r="A10" t="s">
        <v>53</v>
      </c>
      <c r="B10" s="24" t="s">
        <v>13</v>
      </c>
      <c r="C10" s="24">
        <v>4</v>
      </c>
      <c r="D10" s="44"/>
      <c r="E10" s="10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28" t="s">
        <v>49</v>
      </c>
    </row>
    <row r="11" spans="1:10" ht="46.8" x14ac:dyDescent="0.3">
      <c r="A11" t="s">
        <v>54</v>
      </c>
      <c r="B11" s="24" t="s">
        <v>13</v>
      </c>
      <c r="C11" s="24">
        <v>4</v>
      </c>
      <c r="D11" s="44"/>
      <c r="E11" s="10" t="s">
        <v>42</v>
      </c>
      <c r="F11" s="5" t="s">
        <v>43</v>
      </c>
      <c r="G11" s="5" t="s">
        <v>44</v>
      </c>
      <c r="H11" s="5" t="s">
        <v>45</v>
      </c>
      <c r="I11" s="5" t="s">
        <v>46</v>
      </c>
      <c r="J11" s="28" t="s">
        <v>49</v>
      </c>
    </row>
    <row r="12" spans="1:10" ht="46.8" x14ac:dyDescent="0.3">
      <c r="A12" t="s">
        <v>55</v>
      </c>
      <c r="B12" s="24" t="s">
        <v>10</v>
      </c>
      <c r="C12" s="24">
        <v>4</v>
      </c>
      <c r="D12" s="44"/>
      <c r="E12" s="10" t="s">
        <v>42</v>
      </c>
      <c r="F12" s="5" t="s">
        <v>43</v>
      </c>
      <c r="G12" s="5" t="s">
        <v>44</v>
      </c>
      <c r="H12" s="5" t="s">
        <v>45</v>
      </c>
      <c r="I12" s="5" t="s">
        <v>46</v>
      </c>
      <c r="J12" s="28" t="s">
        <v>49</v>
      </c>
    </row>
    <row r="13" spans="1:10" ht="46.8" x14ac:dyDescent="0.3">
      <c r="A13" t="s">
        <v>56</v>
      </c>
      <c r="B13" s="24" t="s">
        <v>12</v>
      </c>
      <c r="C13" s="24">
        <v>4</v>
      </c>
      <c r="D13" s="44"/>
      <c r="E13" s="10" t="s">
        <v>42</v>
      </c>
      <c r="F13" s="5" t="s">
        <v>43</v>
      </c>
      <c r="G13" s="5" t="s">
        <v>44</v>
      </c>
      <c r="H13" s="5" t="s">
        <v>45</v>
      </c>
      <c r="I13" s="5" t="s">
        <v>46</v>
      </c>
      <c r="J13" s="28" t="s">
        <v>49</v>
      </c>
    </row>
    <row r="14" spans="1:10" ht="46.8" x14ac:dyDescent="0.3">
      <c r="A14" t="s">
        <v>57</v>
      </c>
      <c r="B14" s="24" t="s">
        <v>9</v>
      </c>
      <c r="C14" s="24">
        <v>4</v>
      </c>
      <c r="D14" s="44"/>
      <c r="E14" s="10" t="s">
        <v>42</v>
      </c>
      <c r="F14" s="5" t="s">
        <v>43</v>
      </c>
      <c r="G14" s="5" t="s">
        <v>44</v>
      </c>
      <c r="H14" s="5" t="s">
        <v>45</v>
      </c>
      <c r="I14" s="5" t="s">
        <v>46</v>
      </c>
      <c r="J14" s="28" t="s">
        <v>49</v>
      </c>
    </row>
    <row r="15" spans="1:10" ht="46.8" x14ac:dyDescent="0.3">
      <c r="A15" t="s">
        <v>58</v>
      </c>
      <c r="B15" s="24" t="s">
        <v>10</v>
      </c>
      <c r="C15" s="24">
        <v>5</v>
      </c>
      <c r="D15" s="44"/>
      <c r="E15" s="10" t="s">
        <v>42</v>
      </c>
      <c r="F15" s="5" t="s">
        <v>43</v>
      </c>
      <c r="G15" s="5" t="s">
        <v>44</v>
      </c>
      <c r="H15" s="5" t="s">
        <v>45</v>
      </c>
      <c r="I15" s="5" t="s">
        <v>46</v>
      </c>
      <c r="J15" s="28" t="s">
        <v>49</v>
      </c>
    </row>
    <row r="16" spans="1:10" ht="46.8" x14ac:dyDescent="0.3">
      <c r="A16" t="s">
        <v>59</v>
      </c>
      <c r="B16" s="24" t="s">
        <v>13</v>
      </c>
      <c r="C16" s="24">
        <v>5</v>
      </c>
      <c r="D16" s="44"/>
      <c r="E16" s="10" t="s">
        <v>42</v>
      </c>
      <c r="F16" s="5" t="s">
        <v>43</v>
      </c>
      <c r="G16" s="5" t="s">
        <v>44</v>
      </c>
      <c r="H16" s="5" t="s">
        <v>45</v>
      </c>
      <c r="I16" s="5" t="s">
        <v>46</v>
      </c>
      <c r="J16" s="28" t="s">
        <v>49</v>
      </c>
    </row>
    <row r="17" spans="1:10" ht="46.8" x14ac:dyDescent="0.3">
      <c r="A17" t="s">
        <v>60</v>
      </c>
      <c r="B17" s="24" t="s">
        <v>13</v>
      </c>
      <c r="C17" s="24">
        <v>5</v>
      </c>
      <c r="D17" s="44"/>
      <c r="E17" s="10" t="s">
        <v>42</v>
      </c>
      <c r="F17" s="5" t="s">
        <v>43</v>
      </c>
      <c r="G17" s="5" t="s">
        <v>44</v>
      </c>
      <c r="H17" s="5" t="s">
        <v>45</v>
      </c>
      <c r="I17" s="5" t="s">
        <v>46</v>
      </c>
      <c r="J17" s="28" t="s">
        <v>49</v>
      </c>
    </row>
    <row r="18" spans="1:10" ht="46.8" x14ac:dyDescent="0.3">
      <c r="A18" t="s">
        <v>61</v>
      </c>
      <c r="B18" s="24" t="s">
        <v>9</v>
      </c>
      <c r="C18" s="24">
        <v>5</v>
      </c>
      <c r="D18" s="44"/>
      <c r="E18" s="10" t="s">
        <v>42</v>
      </c>
      <c r="F18" s="5" t="s">
        <v>43</v>
      </c>
      <c r="G18" s="5" t="s">
        <v>44</v>
      </c>
      <c r="H18" s="5" t="s">
        <v>45</v>
      </c>
      <c r="I18" s="5" t="s">
        <v>46</v>
      </c>
      <c r="J18" s="28" t="s">
        <v>49</v>
      </c>
    </row>
    <row r="19" spans="1:10" ht="46.8" x14ac:dyDescent="0.3">
      <c r="A19" t="s">
        <v>62</v>
      </c>
      <c r="B19" s="24" t="s">
        <v>10</v>
      </c>
      <c r="C19" s="24">
        <v>5</v>
      </c>
      <c r="D19" s="44"/>
      <c r="E19" s="10" t="s">
        <v>42</v>
      </c>
      <c r="F19" s="5" t="s">
        <v>43</v>
      </c>
      <c r="G19" s="5" t="s">
        <v>44</v>
      </c>
      <c r="H19" s="5" t="s">
        <v>45</v>
      </c>
      <c r="I19" s="5" t="s">
        <v>46</v>
      </c>
      <c r="J19" s="28" t="s">
        <v>49</v>
      </c>
    </row>
    <row r="20" spans="1:10" ht="46.8" x14ac:dyDescent="0.3">
      <c r="A20" t="s">
        <v>63</v>
      </c>
      <c r="B20" s="24" t="s">
        <v>9</v>
      </c>
      <c r="C20" s="24">
        <v>5</v>
      </c>
      <c r="D20" s="44"/>
      <c r="E20" s="10" t="s">
        <v>42</v>
      </c>
      <c r="F20" s="5" t="s">
        <v>43</v>
      </c>
      <c r="G20" s="5" t="s">
        <v>44</v>
      </c>
      <c r="H20" s="5" t="s">
        <v>45</v>
      </c>
      <c r="I20" s="5" t="s">
        <v>46</v>
      </c>
      <c r="J20" s="28" t="s">
        <v>49</v>
      </c>
    </row>
    <row r="21" spans="1:10" ht="46.8" x14ac:dyDescent="0.3">
      <c r="A21" t="s">
        <v>64</v>
      </c>
      <c r="B21" s="24" t="s">
        <v>12</v>
      </c>
      <c r="C21" s="24">
        <v>4</v>
      </c>
      <c r="D21" s="44"/>
      <c r="E21" s="10" t="s">
        <v>42</v>
      </c>
      <c r="F21" s="5" t="s">
        <v>43</v>
      </c>
      <c r="G21" s="5" t="s">
        <v>44</v>
      </c>
      <c r="H21" s="5" t="s">
        <v>45</v>
      </c>
      <c r="I21" s="5" t="s">
        <v>46</v>
      </c>
      <c r="J21" s="28" t="s">
        <v>49</v>
      </c>
    </row>
    <row r="22" spans="1:10" ht="46.8" x14ac:dyDescent="0.3">
      <c r="A22" t="s">
        <v>65</v>
      </c>
      <c r="B22" s="24" t="s">
        <v>12</v>
      </c>
      <c r="C22" s="24">
        <v>4</v>
      </c>
      <c r="D22" s="44"/>
      <c r="E22" s="10" t="s">
        <v>42</v>
      </c>
      <c r="F22" s="5" t="s">
        <v>43</v>
      </c>
      <c r="G22" s="5" t="s">
        <v>44</v>
      </c>
      <c r="H22" s="5" t="s">
        <v>45</v>
      </c>
      <c r="I22" s="5" t="s">
        <v>46</v>
      </c>
      <c r="J22" s="28" t="s">
        <v>49</v>
      </c>
    </row>
    <row r="23" spans="1:10" ht="46.8" x14ac:dyDescent="0.3">
      <c r="A23" t="s">
        <v>66</v>
      </c>
      <c r="B23" s="24" t="s">
        <v>9</v>
      </c>
      <c r="C23" s="24">
        <v>5</v>
      </c>
      <c r="D23" s="44" t="s">
        <v>170</v>
      </c>
      <c r="E23" s="10" t="s">
        <v>42</v>
      </c>
      <c r="F23" s="5" t="s">
        <v>43</v>
      </c>
      <c r="G23" s="5" t="s">
        <v>44</v>
      </c>
      <c r="H23" s="5" t="s">
        <v>45</v>
      </c>
      <c r="I23" s="5" t="s">
        <v>46</v>
      </c>
      <c r="J23" s="28" t="s">
        <v>49</v>
      </c>
    </row>
    <row r="24" spans="1:10" ht="46.8" x14ac:dyDescent="0.3">
      <c r="A24" t="s">
        <v>67</v>
      </c>
      <c r="B24" s="24" t="s">
        <v>13</v>
      </c>
      <c r="C24" s="24">
        <v>4</v>
      </c>
      <c r="D24" s="44" t="s">
        <v>170</v>
      </c>
      <c r="E24" s="10" t="s">
        <v>42</v>
      </c>
      <c r="F24" s="5" t="s">
        <v>43</v>
      </c>
      <c r="G24" s="5" t="s">
        <v>44</v>
      </c>
      <c r="H24" s="5" t="s">
        <v>45</v>
      </c>
      <c r="I24" s="5" t="s">
        <v>46</v>
      </c>
      <c r="J24" s="28" t="s">
        <v>49</v>
      </c>
    </row>
    <row r="25" spans="1:10" ht="47.4" thickBot="1" x14ac:dyDescent="0.35">
      <c r="A25" t="s">
        <v>68</v>
      </c>
      <c r="B25" s="24" t="s">
        <v>10</v>
      </c>
      <c r="C25" s="24">
        <v>5</v>
      </c>
      <c r="D25" s="24" t="s">
        <v>170</v>
      </c>
      <c r="E25" s="18" t="s">
        <v>42</v>
      </c>
      <c r="F25" s="19" t="s">
        <v>43</v>
      </c>
      <c r="G25" s="19" t="s">
        <v>44</v>
      </c>
      <c r="H25" s="19" t="s">
        <v>45</v>
      </c>
      <c r="I25" s="19" t="s">
        <v>46</v>
      </c>
      <c r="J25" s="28" t="s">
        <v>49</v>
      </c>
    </row>
    <row r="26" spans="1:10" ht="47.4" thickBot="1" x14ac:dyDescent="0.35">
      <c r="A26" s="10" t="s">
        <v>69</v>
      </c>
      <c r="B26" s="24" t="s">
        <v>9</v>
      </c>
      <c r="C26" s="24">
        <v>5</v>
      </c>
      <c r="D26" s="24" t="s">
        <v>170</v>
      </c>
      <c r="E26" s="18" t="s">
        <v>42</v>
      </c>
      <c r="F26" s="19" t="s">
        <v>43</v>
      </c>
      <c r="G26" s="19" t="s">
        <v>44</v>
      </c>
      <c r="H26" s="19" t="s">
        <v>45</v>
      </c>
      <c r="I26" s="19" t="s">
        <v>46</v>
      </c>
      <c r="J26" s="28" t="s">
        <v>49</v>
      </c>
    </row>
    <row r="27" spans="1:10" ht="47.4" thickBot="1" x14ac:dyDescent="0.35">
      <c r="A27" s="10" t="s">
        <v>70</v>
      </c>
      <c r="B27" s="24" t="s">
        <v>9</v>
      </c>
      <c r="C27" s="24">
        <v>3</v>
      </c>
      <c r="D27" s="24" t="s">
        <v>170</v>
      </c>
      <c r="E27" s="18" t="s">
        <v>42</v>
      </c>
      <c r="F27" s="19" t="s">
        <v>43</v>
      </c>
      <c r="G27" s="19" t="s">
        <v>44</v>
      </c>
      <c r="H27" s="19" t="s">
        <v>45</v>
      </c>
      <c r="I27" s="19" t="s">
        <v>46</v>
      </c>
      <c r="J27" s="28" t="s">
        <v>49</v>
      </c>
    </row>
    <row r="28" spans="1:10" ht="47.4" thickBot="1" x14ac:dyDescent="0.35">
      <c r="A28" s="10" t="s">
        <v>71</v>
      </c>
      <c r="B28" s="24" t="s">
        <v>9</v>
      </c>
      <c r="C28" s="24">
        <v>1</v>
      </c>
      <c r="D28" s="24" t="s">
        <v>170</v>
      </c>
      <c r="E28" s="18" t="s">
        <v>42</v>
      </c>
      <c r="F28" s="19" t="s">
        <v>43</v>
      </c>
      <c r="G28" s="19" t="s">
        <v>44</v>
      </c>
      <c r="H28" s="19" t="s">
        <v>45</v>
      </c>
      <c r="I28" s="19" t="s">
        <v>46</v>
      </c>
      <c r="J28" s="28" t="s">
        <v>49</v>
      </c>
    </row>
    <row r="29" spans="1:10" ht="47.4" thickBot="1" x14ac:dyDescent="0.35">
      <c r="A29" s="10" t="s">
        <v>72</v>
      </c>
      <c r="B29" s="24" t="s">
        <v>12</v>
      </c>
      <c r="C29" s="24">
        <v>4</v>
      </c>
      <c r="D29" s="24"/>
      <c r="E29" s="18" t="s">
        <v>42</v>
      </c>
      <c r="F29" s="19" t="s">
        <v>43</v>
      </c>
      <c r="G29" s="19" t="s">
        <v>44</v>
      </c>
      <c r="H29" s="19" t="s">
        <v>45</v>
      </c>
      <c r="I29" s="19" t="s">
        <v>46</v>
      </c>
      <c r="J29" s="28" t="s">
        <v>49</v>
      </c>
    </row>
    <row r="30" spans="1:10" ht="46.8" x14ac:dyDescent="0.3">
      <c r="A30" s="10" t="s">
        <v>73</v>
      </c>
      <c r="B30" s="24" t="s">
        <v>15</v>
      </c>
      <c r="C30" s="24">
        <v>3</v>
      </c>
      <c r="D30" s="24"/>
      <c r="E30" s="18" t="s">
        <v>42</v>
      </c>
      <c r="F30" s="19" t="s">
        <v>43</v>
      </c>
      <c r="G30" s="19" t="s">
        <v>44</v>
      </c>
      <c r="H30" s="19" t="s">
        <v>45</v>
      </c>
      <c r="I30" s="19" t="s">
        <v>46</v>
      </c>
      <c r="J30" s="28" t="s">
        <v>49</v>
      </c>
    </row>
    <row r="31" spans="1:10" ht="46.8" x14ac:dyDescent="0.3">
      <c r="A31" s="10" t="s">
        <v>74</v>
      </c>
      <c r="B31" s="24" t="s">
        <v>9</v>
      </c>
      <c r="C31" s="24">
        <v>2</v>
      </c>
      <c r="D31" s="24"/>
      <c r="E31" s="18" t="s">
        <v>42</v>
      </c>
      <c r="F31" s="19" t="s">
        <v>43</v>
      </c>
      <c r="G31" s="19" t="s">
        <v>44</v>
      </c>
      <c r="H31" s="19" t="s">
        <v>45</v>
      </c>
      <c r="I31" s="19" t="s">
        <v>46</v>
      </c>
      <c r="J31" s="28" t="s">
        <v>49</v>
      </c>
    </row>
    <row r="32" spans="1:10" ht="46.8" x14ac:dyDescent="0.3">
      <c r="A32" s="10" t="s">
        <v>75</v>
      </c>
      <c r="B32" s="24" t="s">
        <v>10</v>
      </c>
      <c r="C32" s="24">
        <v>4</v>
      </c>
      <c r="D32" s="24"/>
      <c r="E32" s="18" t="s">
        <v>42</v>
      </c>
      <c r="F32" s="19" t="s">
        <v>43</v>
      </c>
      <c r="G32" s="19" t="s">
        <v>44</v>
      </c>
      <c r="H32" s="19" t="s">
        <v>45</v>
      </c>
      <c r="I32" s="19" t="s">
        <v>46</v>
      </c>
      <c r="J32" s="28" t="s">
        <v>49</v>
      </c>
    </row>
    <row r="33" spans="1:10" ht="47.4" thickBot="1" x14ac:dyDescent="0.35">
      <c r="A33" s="10" t="s">
        <v>76</v>
      </c>
      <c r="B33" s="24" t="s">
        <v>14</v>
      </c>
      <c r="C33" s="24">
        <v>3</v>
      </c>
      <c r="D33" s="24"/>
      <c r="E33" s="18" t="s">
        <v>42</v>
      </c>
      <c r="F33" s="19" t="s">
        <v>43</v>
      </c>
      <c r="G33" s="19" t="s">
        <v>44</v>
      </c>
      <c r="H33" s="19" t="s">
        <v>45</v>
      </c>
      <c r="I33" s="19" t="s">
        <v>46</v>
      </c>
      <c r="J33" s="28" t="s">
        <v>49</v>
      </c>
    </row>
    <row r="34" spans="1:10" ht="47.4" thickBot="1" x14ac:dyDescent="0.35">
      <c r="A34" s="10" t="s">
        <v>77</v>
      </c>
      <c r="B34" s="24" t="s">
        <v>12</v>
      </c>
      <c r="C34" s="24">
        <v>4</v>
      </c>
      <c r="D34" s="24" t="s">
        <v>170</v>
      </c>
      <c r="E34" s="18" t="s">
        <v>42</v>
      </c>
      <c r="F34" s="19" t="s">
        <v>43</v>
      </c>
      <c r="G34" s="19" t="s">
        <v>44</v>
      </c>
      <c r="H34" s="19" t="s">
        <v>45</v>
      </c>
      <c r="I34" s="19" t="s">
        <v>46</v>
      </c>
      <c r="J34" s="28" t="s">
        <v>49</v>
      </c>
    </row>
    <row r="35" spans="1:10" ht="47.4" thickBot="1" x14ac:dyDescent="0.35">
      <c r="A35" s="10"/>
      <c r="B35" s="24"/>
      <c r="C35" s="24"/>
      <c r="D35" s="24"/>
      <c r="E35" s="18" t="s">
        <v>42</v>
      </c>
      <c r="F35" s="19" t="s">
        <v>43</v>
      </c>
      <c r="G35" s="19" t="s">
        <v>44</v>
      </c>
      <c r="H35" s="19" t="s">
        <v>45</v>
      </c>
      <c r="I35" s="19" t="s">
        <v>46</v>
      </c>
      <c r="J35" s="28" t="s">
        <v>49</v>
      </c>
    </row>
    <row r="36" spans="1:10" ht="47.4" thickBot="1" x14ac:dyDescent="0.35">
      <c r="A36" s="10"/>
      <c r="B36" s="24"/>
      <c r="C36" s="24"/>
      <c r="D36" s="24"/>
      <c r="E36" s="18" t="s">
        <v>42</v>
      </c>
      <c r="F36" s="19" t="s">
        <v>43</v>
      </c>
      <c r="G36" s="19" t="s">
        <v>44</v>
      </c>
      <c r="H36" s="19" t="s">
        <v>45</v>
      </c>
      <c r="I36" s="19" t="s">
        <v>46</v>
      </c>
      <c r="J36" s="28" t="s">
        <v>49</v>
      </c>
    </row>
    <row r="37" spans="1:10" ht="47.4" thickBot="1" x14ac:dyDescent="0.35">
      <c r="A37" s="10"/>
      <c r="B37" s="24"/>
      <c r="C37" s="24"/>
      <c r="D37" s="24"/>
      <c r="E37" s="18" t="s">
        <v>42</v>
      </c>
      <c r="F37" s="19" t="s">
        <v>43</v>
      </c>
      <c r="G37" s="19" t="s">
        <v>44</v>
      </c>
      <c r="H37" s="19" t="s">
        <v>45</v>
      </c>
      <c r="I37" s="19" t="s">
        <v>46</v>
      </c>
      <c r="J37" s="28" t="s">
        <v>49</v>
      </c>
    </row>
  </sheetData>
  <mergeCells count="4">
    <mergeCell ref="D3:D5"/>
    <mergeCell ref="C3:C5"/>
    <mergeCell ref="B3:B5"/>
    <mergeCell ref="A3:A5"/>
  </mergeCells>
  <phoneticPr fontId="3" type="noConversion"/>
  <conditionalFormatting sqref="E6:J37">
    <cfRule type="expression" dxfId="0" priority="1" stopIfTrue="1">
      <formula>$C6=E$3</formula>
    </cfRule>
  </conditionalFormatting>
  <dataValidations count="1">
    <dataValidation type="list" allowBlank="1" showInputMessage="1" showErrorMessage="1" sqref="C6:C3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T10"/>
  <sheetViews>
    <sheetView tabSelected="1" workbookViewId="0">
      <selection activeCell="F7" sqref="F7"/>
    </sheetView>
  </sheetViews>
  <sheetFormatPr defaultColWidth="10.8984375" defaultRowHeight="15.6" x14ac:dyDescent="0.3"/>
  <cols>
    <col min="1" max="1" width="14.8984375" style="1" customWidth="1"/>
    <col min="2" max="2" width="7.09765625" style="1" bestFit="1" customWidth="1"/>
    <col min="3" max="10" width="8.69921875" style="1" customWidth="1"/>
    <col min="11" max="11" width="12.09765625" style="1" bestFit="1" customWidth="1"/>
    <col min="12" max="18" width="17.3984375" style="60" customWidth="1"/>
    <col min="19" max="19" width="36.69921875" style="60" customWidth="1"/>
    <col min="20" max="20" width="17.3984375" style="60" customWidth="1"/>
    <col min="21" max="21" width="7.3984375" style="1" bestFit="1" customWidth="1"/>
    <col min="22" max="16384" width="10.8984375" style="1"/>
  </cols>
  <sheetData>
    <row r="1" spans="1:20" ht="21" x14ac:dyDescent="0.3">
      <c r="A1" s="20" t="s">
        <v>78</v>
      </c>
      <c r="B1" s="9"/>
      <c r="C1" s="9"/>
      <c r="D1" s="9"/>
      <c r="E1" s="9"/>
      <c r="F1" s="9"/>
      <c r="G1" s="9"/>
      <c r="H1" s="9"/>
      <c r="I1" s="9"/>
      <c r="J1" s="9"/>
    </row>
    <row r="2" spans="1:20" ht="16.2" thickBot="1" x14ac:dyDescent="0.35"/>
    <row r="3" spans="1:20" s="59" customFormat="1" ht="99.6" customHeight="1" x14ac:dyDescent="0.3">
      <c r="A3" s="57" t="s">
        <v>79</v>
      </c>
      <c r="B3" s="58" t="s">
        <v>80</v>
      </c>
      <c r="C3" s="58" t="str">
        <f>'Team and Self Assessment'!C10</f>
        <v>1230462 Diogo Veiros</v>
      </c>
      <c r="D3" s="58" t="str">
        <f>'Team and Self Assessment'!C11</f>
        <v>1230948 Diogo Pereira</v>
      </c>
      <c r="E3" s="58" t="str">
        <f>'Team and Self Assessment'!C12</f>
        <v>1230917 Tiago Sampaio</v>
      </c>
      <c r="F3" s="58" t="str">
        <f>'Team and Self Assessment'!C13</f>
        <v>1211846 Vicente Sousa</v>
      </c>
      <c r="G3" s="58" t="str">
        <f>'Team and Self Assessment'!C14</f>
        <v>1221911 Bruno Lourenço</v>
      </c>
      <c r="H3" s="58" t="str">
        <f>'Team and Self Assessment'!C15</f>
        <v>1220604 Rodrigo Correia</v>
      </c>
      <c r="I3" s="58" t="str">
        <f>'Team and Self Assessment'!C16</f>
        <v>Student 7 No. + 1st name+last name</v>
      </c>
      <c r="J3" s="58" t="str">
        <f>'Team and Self Assessment'!C17</f>
        <v>Student 8 No. + 1st name+last name</v>
      </c>
      <c r="K3" s="58" t="s">
        <v>7</v>
      </c>
      <c r="L3" s="61">
        <f>0</f>
        <v>0</v>
      </c>
      <c r="M3" s="62">
        <f>1</f>
        <v>1</v>
      </c>
      <c r="N3" s="62">
        <f>2</f>
        <v>2</v>
      </c>
      <c r="O3" s="61">
        <f>3</f>
        <v>3</v>
      </c>
      <c r="P3" s="61">
        <f>4</f>
        <v>4</v>
      </c>
      <c r="Q3" s="61">
        <f>5</f>
        <v>5</v>
      </c>
      <c r="R3" s="62" t="s">
        <v>81</v>
      </c>
      <c r="S3" s="63" t="s">
        <v>35</v>
      </c>
      <c r="T3" s="60"/>
    </row>
    <row r="4" spans="1:20" ht="36" x14ac:dyDescent="0.3">
      <c r="A4" s="10" t="s">
        <v>82</v>
      </c>
      <c r="B4" s="13">
        <v>0.1</v>
      </c>
      <c r="C4" s="21">
        <v>5</v>
      </c>
      <c r="D4" s="21">
        <v>5</v>
      </c>
      <c r="E4" s="21">
        <v>4</v>
      </c>
      <c r="F4" s="21">
        <v>4</v>
      </c>
      <c r="G4" s="21"/>
      <c r="H4" s="21"/>
      <c r="I4" s="21"/>
      <c r="J4" s="21"/>
      <c r="K4" s="22">
        <f>AVERAGE(C4:J4)</f>
        <v>4.5</v>
      </c>
      <c r="L4" s="64" t="s">
        <v>83</v>
      </c>
      <c r="M4" s="64" t="s">
        <v>84</v>
      </c>
      <c r="N4" s="64" t="s">
        <v>85</v>
      </c>
      <c r="O4" s="64" t="s">
        <v>86</v>
      </c>
      <c r="P4" s="64" t="s">
        <v>87</v>
      </c>
      <c r="Q4" s="64" t="s">
        <v>88</v>
      </c>
      <c r="R4" s="64"/>
      <c r="S4" s="65"/>
    </row>
    <row r="5" spans="1:20" ht="72" x14ac:dyDescent="0.3">
      <c r="A5" s="10" t="s">
        <v>89</v>
      </c>
      <c r="B5" s="13">
        <v>0.2</v>
      </c>
      <c r="C5" s="21">
        <v>4</v>
      </c>
      <c r="D5" s="21">
        <v>4</v>
      </c>
      <c r="E5" s="21">
        <v>4</v>
      </c>
      <c r="F5" s="21">
        <v>4</v>
      </c>
      <c r="G5" s="21"/>
      <c r="H5" s="21"/>
      <c r="I5" s="21"/>
      <c r="J5" s="21"/>
      <c r="K5" s="22">
        <f>AVERAGE(C5:J5)</f>
        <v>4</v>
      </c>
      <c r="L5" s="64" t="s">
        <v>90</v>
      </c>
      <c r="M5" s="64" t="s">
        <v>91</v>
      </c>
      <c r="N5" s="64" t="s">
        <v>92</v>
      </c>
      <c r="O5" s="64" t="s">
        <v>93</v>
      </c>
      <c r="P5" s="64" t="s">
        <v>94</v>
      </c>
      <c r="Q5" s="64" t="s">
        <v>95</v>
      </c>
      <c r="R5" s="64"/>
      <c r="S5" s="65"/>
    </row>
    <row r="6" spans="1:20" ht="60" x14ac:dyDescent="0.3">
      <c r="A6" s="10" t="s">
        <v>96</v>
      </c>
      <c r="B6" s="13">
        <v>0.5</v>
      </c>
      <c r="C6" s="21">
        <v>4</v>
      </c>
      <c r="D6" s="21">
        <v>4</v>
      </c>
      <c r="E6" s="21">
        <v>4</v>
      </c>
      <c r="F6" s="21">
        <v>4</v>
      </c>
      <c r="G6" s="21"/>
      <c r="H6" s="21"/>
      <c r="I6" s="21"/>
      <c r="J6" s="21"/>
      <c r="K6" s="22">
        <f>AVERAGE(C6:J6)</f>
        <v>4</v>
      </c>
      <c r="L6" s="64" t="s">
        <v>97</v>
      </c>
      <c r="M6" s="64" t="s">
        <v>98</v>
      </c>
      <c r="N6" s="64" t="s">
        <v>99</v>
      </c>
      <c r="O6" s="64" t="s">
        <v>100</v>
      </c>
      <c r="P6" s="64" t="s">
        <v>101</v>
      </c>
      <c r="Q6" s="64" t="s">
        <v>95</v>
      </c>
      <c r="R6" s="64"/>
      <c r="S6" s="65"/>
    </row>
    <row r="7" spans="1:20" ht="60" x14ac:dyDescent="0.3">
      <c r="A7" s="10" t="s">
        <v>102</v>
      </c>
      <c r="B7" s="13">
        <v>0.2</v>
      </c>
      <c r="C7" s="21">
        <v>4</v>
      </c>
      <c r="D7" s="21">
        <v>4</v>
      </c>
      <c r="E7" s="21">
        <v>4</v>
      </c>
      <c r="F7" s="21">
        <v>4</v>
      </c>
      <c r="G7" s="21"/>
      <c r="H7" s="21"/>
      <c r="I7" s="21"/>
      <c r="J7" s="21"/>
      <c r="K7" s="22">
        <f>AVERAGE(C7:J7)</f>
        <v>4</v>
      </c>
      <c r="L7" s="64" t="s">
        <v>103</v>
      </c>
      <c r="M7" s="64" t="s">
        <v>104</v>
      </c>
      <c r="N7" s="64" t="s">
        <v>105</v>
      </c>
      <c r="O7" s="64" t="s">
        <v>106</v>
      </c>
      <c r="P7" s="64" t="s">
        <v>107</v>
      </c>
      <c r="Q7" s="64" t="s">
        <v>95</v>
      </c>
      <c r="R7" s="64"/>
      <c r="S7" s="65"/>
    </row>
    <row r="8" spans="1:20" x14ac:dyDescent="0.3">
      <c r="A8" s="10" t="s">
        <v>108</v>
      </c>
      <c r="B8" s="14">
        <f>SUM(B4:B7)</f>
        <v>1</v>
      </c>
      <c r="C8" s="5">
        <f t="shared" ref="C8:J8" si="0">SUMPRODUCT(C4:C7,$B$4:$B$7)</f>
        <v>4.0999999999999996</v>
      </c>
      <c r="D8" s="5">
        <f t="shared" si="0"/>
        <v>4.0999999999999996</v>
      </c>
      <c r="E8" s="5">
        <f t="shared" si="0"/>
        <v>4</v>
      </c>
      <c r="F8" s="5">
        <v>4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22"/>
      <c r="L8" s="64"/>
      <c r="M8" s="64"/>
      <c r="N8" s="64"/>
      <c r="O8" s="64"/>
      <c r="P8" s="64"/>
      <c r="Q8" s="64"/>
      <c r="R8" s="64"/>
      <c r="S8" s="65"/>
    </row>
    <row r="9" spans="1:20" ht="16.2" thickBot="1" x14ac:dyDescent="0.35">
      <c r="A9" s="18" t="s">
        <v>109</v>
      </c>
      <c r="B9" s="19"/>
      <c r="C9" s="19">
        <f>C8/5*20</f>
        <v>16.399999999999999</v>
      </c>
      <c r="D9" s="19">
        <f t="shared" ref="D9:J9" si="1">D8/5*20</f>
        <v>16.399999999999999</v>
      </c>
      <c r="E9" s="19">
        <f t="shared" si="1"/>
        <v>16</v>
      </c>
      <c r="F9" s="19">
        <f t="shared" si="1"/>
        <v>16</v>
      </c>
      <c r="G9" s="19">
        <f t="shared" si="1"/>
        <v>0</v>
      </c>
      <c r="H9" s="19">
        <f t="shared" si="1"/>
        <v>0</v>
      </c>
      <c r="I9" s="19">
        <f t="shared" si="1"/>
        <v>0</v>
      </c>
      <c r="J9" s="19">
        <f t="shared" si="1"/>
        <v>0</v>
      </c>
      <c r="K9" s="23"/>
      <c r="L9" s="66"/>
      <c r="M9" s="66"/>
      <c r="N9" s="66"/>
      <c r="O9" s="66"/>
      <c r="P9" s="66"/>
      <c r="Q9" s="66"/>
      <c r="R9" s="66"/>
      <c r="S9" s="67"/>
    </row>
    <row r="10" spans="1:20" x14ac:dyDescent="0.3">
      <c r="A10" s="3"/>
    </row>
  </sheetData>
  <phoneticPr fontId="3" type="noConversion"/>
  <dataValidations count="1">
    <dataValidation type="list" allowBlank="1" showInputMessage="1" showErrorMessage="1" sqref="C4:J7" xr:uid="{00000000-0002-0000-0200-000000000000}">
      <formula1>$L$3:$Q$3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S17"/>
  <sheetViews>
    <sheetView topLeftCell="A8" workbookViewId="0">
      <selection activeCell="F19" sqref="F19"/>
    </sheetView>
  </sheetViews>
  <sheetFormatPr defaultColWidth="10.8984375" defaultRowHeight="15.6" x14ac:dyDescent="0.3"/>
  <cols>
    <col min="1" max="1" width="14.8984375" style="1" customWidth="1"/>
    <col min="2" max="2" width="7.09765625" style="1" bestFit="1" customWidth="1"/>
    <col min="3" max="11" width="10.19921875" style="1" customWidth="1"/>
    <col min="12" max="13" width="16.3984375" style="1" bestFit="1" customWidth="1"/>
    <col min="14" max="14" width="17.5" style="1" bestFit="1" customWidth="1"/>
    <col min="15" max="17" width="20.59765625" style="1" customWidth="1"/>
    <col min="18" max="18" width="11" style="1" bestFit="1" customWidth="1"/>
    <col min="19" max="19" width="47.19921875" style="1" customWidth="1"/>
    <col min="20" max="21" width="7.3984375" style="1" bestFit="1" customWidth="1"/>
    <col min="22" max="16384" width="10.8984375" style="1"/>
  </cols>
  <sheetData>
    <row r="1" spans="1:19" ht="21" x14ac:dyDescent="0.3">
      <c r="A1" s="20" t="s">
        <v>110</v>
      </c>
      <c r="B1" s="3"/>
      <c r="C1" s="9"/>
      <c r="D1" s="9"/>
      <c r="E1" s="9"/>
      <c r="F1" s="9"/>
      <c r="G1" s="9"/>
      <c r="H1" s="9"/>
      <c r="I1" s="9"/>
      <c r="J1" s="9"/>
    </row>
    <row r="3" spans="1:19" ht="112.2" customHeight="1" x14ac:dyDescent="0.3">
      <c r="A3" s="15" t="s">
        <v>79</v>
      </c>
      <c r="B3" s="16" t="s">
        <v>80</v>
      </c>
      <c r="C3" s="16" t="str">
        <f>'Team and Self Assessment'!C10</f>
        <v>1230462 Diogo Veiros</v>
      </c>
      <c r="D3" s="16" t="str">
        <f>'Team and Self Assessment'!C11</f>
        <v>1230948 Diogo Pereira</v>
      </c>
      <c r="E3" s="16" t="str">
        <f>'Team and Self Assessment'!C12</f>
        <v>1230917 Tiago Sampaio</v>
      </c>
      <c r="F3" s="16" t="str">
        <f>'Team and Self Assessment'!C13</f>
        <v>1211846 Vicente Sousa</v>
      </c>
      <c r="G3" s="16" t="str">
        <f>'Team and Self Assessment'!C14</f>
        <v>1221911 Bruno Lourenço</v>
      </c>
      <c r="H3" s="16" t="str">
        <f>'Team and Self Assessment'!C15</f>
        <v>1220604 Rodrigo Correia</v>
      </c>
      <c r="I3" s="16" t="str">
        <f>'Team and Self Assessment'!C16</f>
        <v>Student 7 No. + 1st name+last name</v>
      </c>
      <c r="J3" s="16" t="str">
        <f>'Team and Self Assessment'!C17</f>
        <v>Student 8 No. + 1st name+last name</v>
      </c>
      <c r="K3" s="16" t="s">
        <v>7</v>
      </c>
      <c r="L3" s="41">
        <f>0</f>
        <v>0</v>
      </c>
      <c r="M3" s="42">
        <f>1</f>
        <v>1</v>
      </c>
      <c r="N3" s="42">
        <f>2</f>
        <v>2</v>
      </c>
      <c r="O3" s="41">
        <f>3</f>
        <v>3</v>
      </c>
      <c r="P3" s="41">
        <f>4</f>
        <v>4</v>
      </c>
      <c r="Q3" s="41">
        <f>5</f>
        <v>5</v>
      </c>
      <c r="R3" s="17" t="s">
        <v>81</v>
      </c>
      <c r="S3" s="8" t="s">
        <v>35</v>
      </c>
    </row>
    <row r="4" spans="1:19" ht="144.75" customHeight="1" x14ac:dyDescent="0.3">
      <c r="A4" s="10" t="s">
        <v>111</v>
      </c>
      <c r="B4" s="13">
        <v>0.1</v>
      </c>
      <c r="C4" s="21">
        <v>5</v>
      </c>
      <c r="D4" s="21">
        <v>5</v>
      </c>
      <c r="E4" s="21">
        <v>4</v>
      </c>
      <c r="F4" s="21">
        <v>3</v>
      </c>
      <c r="G4" s="21"/>
      <c r="H4" s="21"/>
      <c r="I4" s="21"/>
      <c r="J4" s="21"/>
      <c r="K4" s="39">
        <f t="shared" ref="K4:K14" si="0">AVERAGE(C4:J4)</f>
        <v>4.25</v>
      </c>
      <c r="L4" s="43" t="s">
        <v>112</v>
      </c>
      <c r="M4" s="43" t="s">
        <v>113</v>
      </c>
      <c r="N4" s="43" t="s">
        <v>114</v>
      </c>
      <c r="O4" s="43" t="s">
        <v>115</v>
      </c>
      <c r="P4" s="43" t="s">
        <v>116</v>
      </c>
      <c r="Q4" s="43" t="s">
        <v>117</v>
      </c>
      <c r="R4" s="40"/>
      <c r="S4" s="11"/>
    </row>
    <row r="5" spans="1:19" ht="101.25" customHeight="1" x14ac:dyDescent="0.3">
      <c r="A5" s="10" t="s">
        <v>118</v>
      </c>
      <c r="B5" s="13">
        <v>0.1</v>
      </c>
      <c r="C5" s="21">
        <v>5</v>
      </c>
      <c r="D5" s="21">
        <v>5</v>
      </c>
      <c r="E5" s="21">
        <v>3</v>
      </c>
      <c r="F5" s="21">
        <v>3</v>
      </c>
      <c r="G5" s="21"/>
      <c r="H5" s="21"/>
      <c r="I5" s="21"/>
      <c r="J5" s="21"/>
      <c r="K5" s="39">
        <f t="shared" si="0"/>
        <v>4</v>
      </c>
      <c r="L5" s="43" t="s">
        <v>119</v>
      </c>
      <c r="M5" s="43" t="s">
        <v>120</v>
      </c>
      <c r="N5" s="43" t="s">
        <v>121</v>
      </c>
      <c r="O5" s="43" t="s">
        <v>122</v>
      </c>
      <c r="P5" s="43" t="s">
        <v>123</v>
      </c>
      <c r="Q5" s="43" t="s">
        <v>124</v>
      </c>
      <c r="R5" s="40"/>
      <c r="S5" s="11"/>
    </row>
    <row r="6" spans="1:19" ht="46.8" x14ac:dyDescent="0.3">
      <c r="A6" s="10" t="s">
        <v>125</v>
      </c>
      <c r="B6" s="13">
        <v>0.05</v>
      </c>
      <c r="C6" s="21">
        <v>5</v>
      </c>
      <c r="D6" s="21">
        <v>5</v>
      </c>
      <c r="E6" s="21">
        <v>4</v>
      </c>
      <c r="F6" s="21">
        <v>4</v>
      </c>
      <c r="G6" s="21"/>
      <c r="H6" s="21"/>
      <c r="I6" s="21"/>
      <c r="J6" s="21"/>
      <c r="K6" s="39">
        <f t="shared" si="0"/>
        <v>4.5</v>
      </c>
      <c r="L6" s="43" t="s">
        <v>126</v>
      </c>
      <c r="M6" s="43" t="s">
        <v>127</v>
      </c>
      <c r="N6" s="43" t="s">
        <v>128</v>
      </c>
      <c r="O6" s="43" t="s">
        <v>129</v>
      </c>
      <c r="P6" s="43" t="s">
        <v>130</v>
      </c>
      <c r="Q6" s="43" t="s">
        <v>131</v>
      </c>
      <c r="R6" s="40"/>
      <c r="S6" s="11"/>
    </row>
    <row r="7" spans="1:19" ht="46.8" x14ac:dyDescent="0.3">
      <c r="A7" s="10" t="s">
        <v>132</v>
      </c>
      <c r="B7" s="13">
        <v>0.05</v>
      </c>
      <c r="C7" s="21">
        <v>4</v>
      </c>
      <c r="D7" s="21">
        <v>4</v>
      </c>
      <c r="E7" s="21">
        <v>4</v>
      </c>
      <c r="F7" s="21">
        <v>4</v>
      </c>
      <c r="G7" s="21"/>
      <c r="H7" s="21"/>
      <c r="I7" s="21"/>
      <c r="J7" s="21"/>
      <c r="K7" s="39">
        <f t="shared" si="0"/>
        <v>4</v>
      </c>
      <c r="L7" s="43" t="s">
        <v>126</v>
      </c>
      <c r="M7" s="43" t="s">
        <v>133</v>
      </c>
      <c r="N7" s="43" t="s">
        <v>134</v>
      </c>
      <c r="O7" s="43" t="s">
        <v>135</v>
      </c>
      <c r="P7" s="43" t="s">
        <v>136</v>
      </c>
      <c r="Q7" s="43" t="s">
        <v>137</v>
      </c>
      <c r="R7" s="40"/>
      <c r="S7" s="11"/>
    </row>
    <row r="8" spans="1:19" ht="62.4" x14ac:dyDescent="0.3">
      <c r="A8" s="10" t="s">
        <v>138</v>
      </c>
      <c r="B8" s="13">
        <v>0.1</v>
      </c>
      <c r="C8" s="21">
        <v>3</v>
      </c>
      <c r="D8" s="21">
        <v>5</v>
      </c>
      <c r="E8" s="21">
        <v>4</v>
      </c>
      <c r="F8" s="21">
        <v>3</v>
      </c>
      <c r="G8" s="21"/>
      <c r="H8" s="21"/>
      <c r="I8" s="21"/>
      <c r="J8" s="21"/>
      <c r="K8" s="39">
        <f t="shared" si="0"/>
        <v>3.75</v>
      </c>
      <c r="L8" s="43" t="s">
        <v>126</v>
      </c>
      <c r="M8" s="43" t="s">
        <v>139</v>
      </c>
      <c r="N8" s="43" t="s">
        <v>140</v>
      </c>
      <c r="O8" s="43" t="s">
        <v>141</v>
      </c>
      <c r="P8" s="43" t="s">
        <v>142</v>
      </c>
      <c r="Q8" s="43" t="s">
        <v>143</v>
      </c>
      <c r="R8" s="40"/>
      <c r="S8" s="11"/>
    </row>
    <row r="9" spans="1:19" ht="62.4" x14ac:dyDescent="0.3">
      <c r="A9" s="10" t="s">
        <v>144</v>
      </c>
      <c r="B9" s="13">
        <v>0.05</v>
      </c>
      <c r="C9" s="21">
        <v>5</v>
      </c>
      <c r="D9" s="21">
        <v>5</v>
      </c>
      <c r="E9" s="21">
        <v>5</v>
      </c>
      <c r="F9" s="21">
        <v>3</v>
      </c>
      <c r="G9" s="21"/>
      <c r="H9" s="21"/>
      <c r="I9" s="21"/>
      <c r="J9" s="21"/>
      <c r="K9" s="39">
        <f t="shared" si="0"/>
        <v>4.5</v>
      </c>
      <c r="L9" s="43" t="s">
        <v>145</v>
      </c>
      <c r="M9" s="43" t="s">
        <v>146</v>
      </c>
      <c r="N9" s="43"/>
      <c r="O9" s="43" t="s">
        <v>147</v>
      </c>
      <c r="P9" s="43"/>
      <c r="Q9" s="43" t="s">
        <v>148</v>
      </c>
      <c r="R9" s="40"/>
      <c r="S9" s="11"/>
    </row>
    <row r="10" spans="1:19" ht="93.6" x14ac:dyDescent="0.3">
      <c r="A10" s="10" t="s">
        <v>149</v>
      </c>
      <c r="B10" s="13">
        <v>0.1</v>
      </c>
      <c r="C10" s="21">
        <v>4</v>
      </c>
      <c r="D10" s="21">
        <v>4</v>
      </c>
      <c r="E10" s="21">
        <v>4</v>
      </c>
      <c r="F10" s="21">
        <v>3</v>
      </c>
      <c r="G10" s="21"/>
      <c r="H10" s="21"/>
      <c r="I10" s="21"/>
      <c r="J10" s="21"/>
      <c r="K10" s="39">
        <f t="shared" si="0"/>
        <v>3.75</v>
      </c>
      <c r="L10" s="43" t="s">
        <v>145</v>
      </c>
      <c r="M10" s="43" t="s">
        <v>150</v>
      </c>
      <c r="N10" s="43" t="s">
        <v>151</v>
      </c>
      <c r="O10" s="43" t="s">
        <v>152</v>
      </c>
      <c r="P10" s="43" t="s">
        <v>153</v>
      </c>
      <c r="Q10" s="43" t="s">
        <v>154</v>
      </c>
      <c r="R10" s="40"/>
      <c r="S10" s="11"/>
    </row>
    <row r="11" spans="1:19" ht="46.8" x14ac:dyDescent="0.3">
      <c r="A11" s="10" t="s">
        <v>155</v>
      </c>
      <c r="B11" s="13">
        <v>0.1</v>
      </c>
      <c r="C11" s="21">
        <v>4</v>
      </c>
      <c r="D11" s="21">
        <v>4</v>
      </c>
      <c r="E11" s="21">
        <v>4</v>
      </c>
      <c r="F11" s="21">
        <v>3</v>
      </c>
      <c r="G11" s="21"/>
      <c r="H11" s="21"/>
      <c r="I11" s="21"/>
      <c r="J11" s="21"/>
      <c r="K11" s="39">
        <f t="shared" si="0"/>
        <v>3.75</v>
      </c>
      <c r="L11" s="43" t="s">
        <v>145</v>
      </c>
      <c r="M11" s="43" t="s">
        <v>156</v>
      </c>
      <c r="N11" s="43" t="s">
        <v>157</v>
      </c>
      <c r="O11" s="43" t="s">
        <v>158</v>
      </c>
      <c r="P11" s="43" t="s">
        <v>159</v>
      </c>
      <c r="Q11" s="43" t="s">
        <v>160</v>
      </c>
      <c r="R11" s="40"/>
      <c r="S11" s="11"/>
    </row>
    <row r="12" spans="1:19" ht="31.2" x14ac:dyDescent="0.3">
      <c r="A12" s="10" t="s">
        <v>161</v>
      </c>
      <c r="B12" s="13">
        <v>0.1</v>
      </c>
      <c r="C12" s="21">
        <v>4</v>
      </c>
      <c r="D12" s="21">
        <v>4</v>
      </c>
      <c r="E12" s="21">
        <v>4</v>
      </c>
      <c r="F12" s="21">
        <v>4</v>
      </c>
      <c r="G12" s="21"/>
      <c r="H12" s="21"/>
      <c r="I12" s="21"/>
      <c r="J12" s="21"/>
      <c r="K12" s="39">
        <f t="shared" si="0"/>
        <v>4</v>
      </c>
      <c r="L12" s="43" t="s">
        <v>145</v>
      </c>
      <c r="M12" s="43" t="s">
        <v>156</v>
      </c>
      <c r="N12" s="43" t="s">
        <v>157</v>
      </c>
      <c r="O12" s="43" t="s">
        <v>158</v>
      </c>
      <c r="P12" s="43" t="s">
        <v>159</v>
      </c>
      <c r="Q12" s="43" t="s">
        <v>160</v>
      </c>
      <c r="R12" s="40"/>
      <c r="S12" s="11"/>
    </row>
    <row r="13" spans="1:19" ht="46.8" x14ac:dyDescent="0.3">
      <c r="A13" s="10" t="s">
        <v>162</v>
      </c>
      <c r="B13" s="13">
        <v>0.1</v>
      </c>
      <c r="C13" s="21">
        <v>4</v>
      </c>
      <c r="D13" s="21">
        <v>4</v>
      </c>
      <c r="E13" s="21">
        <v>4</v>
      </c>
      <c r="F13" s="21">
        <v>4</v>
      </c>
      <c r="G13" s="21"/>
      <c r="H13" s="21"/>
      <c r="I13" s="21"/>
      <c r="J13" s="21"/>
      <c r="K13" s="39">
        <f t="shared" si="0"/>
        <v>4</v>
      </c>
      <c r="L13" s="43" t="s">
        <v>163</v>
      </c>
      <c r="M13" s="43" t="s">
        <v>164</v>
      </c>
      <c r="N13" s="43" t="s">
        <v>165</v>
      </c>
      <c r="O13" s="43" t="s">
        <v>166</v>
      </c>
      <c r="P13" s="43" t="s">
        <v>167</v>
      </c>
      <c r="Q13" s="43" t="s">
        <v>168</v>
      </c>
      <c r="R13" s="40"/>
      <c r="S13" s="11"/>
    </row>
    <row r="14" spans="1:19" ht="31.2" x14ac:dyDescent="0.3">
      <c r="A14" s="10" t="s">
        <v>169</v>
      </c>
      <c r="B14" s="13">
        <v>0.15</v>
      </c>
      <c r="C14" s="21">
        <v>5</v>
      </c>
      <c r="D14" s="21">
        <v>5</v>
      </c>
      <c r="E14" s="21">
        <v>4</v>
      </c>
      <c r="F14" s="21">
        <v>4</v>
      </c>
      <c r="G14" s="21"/>
      <c r="H14" s="21"/>
      <c r="I14" s="21"/>
      <c r="J14" s="21"/>
      <c r="K14" s="39">
        <f t="shared" si="0"/>
        <v>4.5</v>
      </c>
      <c r="L14" s="43" t="s">
        <v>145</v>
      </c>
      <c r="M14" s="43" t="s">
        <v>156</v>
      </c>
      <c r="N14" s="43" t="s">
        <v>157</v>
      </c>
      <c r="O14" s="43" t="s">
        <v>158</v>
      </c>
      <c r="P14" s="43" t="s">
        <v>159</v>
      </c>
      <c r="Q14" s="43" t="s">
        <v>160</v>
      </c>
      <c r="R14" s="40"/>
      <c r="S14" s="11"/>
    </row>
    <row r="15" spans="1:19" x14ac:dyDescent="0.3">
      <c r="A15" s="10" t="s">
        <v>108</v>
      </c>
      <c r="B15" s="14">
        <f>SUM(B4:B14)</f>
        <v>1</v>
      </c>
      <c r="C15" s="5">
        <f>SUMPRODUCT(C4:C14,$B$4:$B$14)</f>
        <v>4.3499999999999996</v>
      </c>
      <c r="D15" s="5">
        <f t="shared" ref="D15:J15" si="1">SUMPRODUCT(D4:D14,$B$4:$B$14)</f>
        <v>4.55</v>
      </c>
      <c r="E15" s="5">
        <f t="shared" si="1"/>
        <v>3.9499999999999997</v>
      </c>
      <c r="F15" s="5">
        <f t="shared" si="1"/>
        <v>3.45</v>
      </c>
      <c r="G15" s="5">
        <f t="shared" si="1"/>
        <v>0</v>
      </c>
      <c r="H15" s="5">
        <f t="shared" si="1"/>
        <v>0</v>
      </c>
      <c r="I15" s="5">
        <f t="shared" si="1"/>
        <v>0</v>
      </c>
      <c r="J15" s="5">
        <f t="shared" si="1"/>
        <v>0</v>
      </c>
      <c r="K15" s="22"/>
      <c r="L15" s="27"/>
      <c r="M15" s="27"/>
      <c r="N15" s="27"/>
      <c r="O15" s="27"/>
      <c r="P15" s="27"/>
      <c r="Q15" s="27"/>
      <c r="R15" s="5"/>
      <c r="S15" s="11"/>
    </row>
    <row r="16" spans="1:19" ht="16.2" thickBot="1" x14ac:dyDescent="0.35">
      <c r="A16" s="18" t="s">
        <v>109</v>
      </c>
      <c r="B16" s="19"/>
      <c r="C16" s="19">
        <f>C15/5*20</f>
        <v>17.399999999999999</v>
      </c>
      <c r="D16" s="19">
        <f t="shared" ref="D16:J16" si="2">D15/5*20</f>
        <v>18.2</v>
      </c>
      <c r="E16" s="19">
        <f t="shared" si="2"/>
        <v>15.799999999999999</v>
      </c>
      <c r="F16" s="19">
        <f t="shared" si="2"/>
        <v>13.8</v>
      </c>
      <c r="G16" s="19">
        <f t="shared" si="2"/>
        <v>0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23"/>
      <c r="L16" s="19"/>
      <c r="M16" s="19"/>
      <c r="N16" s="19"/>
      <c r="O16" s="19"/>
      <c r="P16" s="19"/>
      <c r="Q16" s="19"/>
      <c r="R16" s="19"/>
      <c r="S16" s="12"/>
    </row>
    <row r="17" spans="1:1" x14ac:dyDescent="0.3">
      <c r="A17" s="3"/>
    </row>
  </sheetData>
  <dataValidations count="1">
    <dataValidation type="list" allowBlank="1" showInputMessage="1" showErrorMessage="1" sqref="C4:J14" xr:uid="{00000000-0002-0000-0300-000000000000}">
      <formula1>$L$3:$Q$3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8C8461FEB204EB91068C06B7C001B" ma:contentTypeVersion="4" ma:contentTypeDescription="Create a new document." ma:contentTypeScope="" ma:versionID="7ddc5fcdc3832dcd8064c9a9fff3da39">
  <xsd:schema xmlns:xsd="http://www.w3.org/2001/XMLSchema" xmlns:xs="http://www.w3.org/2001/XMLSchema" xmlns:p="http://schemas.microsoft.com/office/2006/metadata/properties" xmlns:ns2="0d829d19-a20c-4e5a-aa0c-328105ee23df" targetNamespace="http://schemas.microsoft.com/office/2006/metadata/properties" ma:root="true" ma:fieldsID="287fd88bfc28c47984627594b174b25e" ns2:_="">
    <xsd:import namespace="0d829d19-a20c-4e5a-aa0c-328105ee2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829d19-a20c-4e5a-aa0c-328105ee2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6AB074-6220-4A99-A3A7-2A3B1AB9B5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829d19-a20c-4e5a-aa0c-328105ee2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documentManagement/types"/>
    <ds:schemaRef ds:uri="0d829d19-a20c-4e5a-aa0c-328105ee23df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Team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Diogo Filipe Marques Veiros</cp:lastModifiedBy>
  <cp:revision/>
  <dcterms:created xsi:type="dcterms:W3CDTF">2021-10-23T17:18:59Z</dcterms:created>
  <dcterms:modified xsi:type="dcterms:W3CDTF">2025-01-05T22:23:47Z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0x010100F168C8461FEB204EB91068C06B7C001B</vt:lpwstr>
  </property>
</Properties>
</file>